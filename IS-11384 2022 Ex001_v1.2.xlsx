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egisfr-my.sharepoint.com/personal/arvind_rawat_egis-group_com/Documents/ARVIND/0.0 CODES/IS CODES/"/>
    </mc:Choice>
  </mc:AlternateContent>
  <xr:revisionPtr revIDLastSave="317" documentId="8_{B5F78F49-1C15-43D7-B7A2-CEDF4710ED28}" xr6:coauthVersionLast="47" xr6:coauthVersionMax="47" xr10:uidLastSave="{BC140979-3703-4F58-81AF-C99494069D83}"/>
  <bookViews>
    <workbookView minimized="1" xWindow="7140" yWindow="60" windowWidth="21660" windowHeight="16110" xr2:uid="{00000000-000D-0000-FFFF-FFFF00000000}"/>
  </bookViews>
  <sheets>
    <sheet name="1. Cover &amp; Summary" sheetId="1" r:id="rId1"/>
    <sheet name="2. Properties" sheetId="2" r:id="rId2"/>
    <sheet name="3. Sect Props" sheetId="4" r:id="rId3"/>
    <sheet name="4. z-Buckling" sheetId="3" r:id="rId4"/>
    <sheet name="5. Global+2nd" sheetId="7" r:id="rId5"/>
    <sheet name="6. Shear+DC" sheetId="8" r:id="rId6"/>
  </sheets>
  <definedNames>
    <definedName name="_xlnm.Print_Area" localSheetId="0">'1. Cover &amp; Summary'!$A$1:$E$56</definedName>
    <definedName name="_xlnm.Print_Area" localSheetId="1">'2. Properties'!$A$1:$F$42</definedName>
    <definedName name="_xlnm.Print_Area" localSheetId="3">'4. z-Buckling'!$A$1:$G$119</definedName>
    <definedName name="_xlnm.Print_Area" localSheetId="4">'5. Global+2nd'!$A$1:$F$45</definedName>
    <definedName name="_xlnm.Print_Area" localSheetId="5">'6. Shear+DC'!$A$1:$F$53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S16" i="2"/>
  <c r="S14" i="2"/>
  <c r="S13" i="2"/>
  <c r="S12" i="2"/>
  <c r="S15" i="2" s="1"/>
  <c r="S11" i="2"/>
  <c r="S23" i="2" s="1"/>
  <c r="S24" i="2" l="1"/>
  <c r="C17" i="8"/>
  <c r="D13" i="8"/>
  <c r="C15" i="8" s="1"/>
  <c r="C13" i="8"/>
  <c r="C9" i="8"/>
  <c r="D5" i="8"/>
  <c r="C7" i="8" s="1"/>
  <c r="C5" i="8"/>
  <c r="D40" i="7"/>
  <c r="C40" i="7"/>
  <c r="D38" i="7"/>
  <c r="D31" i="7"/>
  <c r="C31" i="7"/>
  <c r="D29" i="7"/>
  <c r="D26" i="7"/>
  <c r="C26" i="7"/>
  <c r="C115" i="3"/>
  <c r="T100" i="3"/>
  <c r="M100" i="3"/>
  <c r="AC99" i="3"/>
  <c r="AB97" i="3"/>
  <c r="S97" i="3"/>
  <c r="L97" i="3"/>
  <c r="E82" i="3"/>
  <c r="C71" i="3"/>
  <c r="AC57" i="3"/>
  <c r="T57" i="3"/>
  <c r="M57" i="3"/>
  <c r="AB55" i="3"/>
  <c r="S54" i="3"/>
  <c r="L54" i="3"/>
  <c r="E37" i="3"/>
  <c r="G13" i="3"/>
  <c r="G11" i="3"/>
  <c r="E5" i="3"/>
  <c r="C5" i="3"/>
  <c r="E3" i="3"/>
  <c r="F35" i="4"/>
  <c r="D32" i="4"/>
  <c r="C32" i="4"/>
  <c r="D30" i="4"/>
  <c r="C30" i="4"/>
  <c r="D28" i="4"/>
  <c r="E31" i="3" s="1"/>
  <c r="C28" i="4"/>
  <c r="D24" i="4"/>
  <c r="C24" i="4"/>
  <c r="D22" i="4"/>
  <c r="C22" i="4"/>
  <c r="D20" i="4"/>
  <c r="C20" i="4"/>
  <c r="D18" i="4"/>
  <c r="C18" i="4"/>
  <c r="D16" i="4"/>
  <c r="C16" i="4"/>
  <c r="D10" i="4"/>
  <c r="C10" i="4"/>
  <c r="D8" i="4"/>
  <c r="C8" i="4"/>
  <c r="D6" i="4"/>
  <c r="C6" i="4"/>
  <c r="D5" i="4"/>
  <c r="C5" i="4"/>
  <c r="D4" i="4"/>
  <c r="C4" i="4"/>
  <c r="F40" i="2"/>
  <c r="B29" i="1"/>
  <c r="B28" i="1"/>
  <c r="K16" i="1"/>
  <c r="K14" i="1"/>
  <c r="K13" i="1"/>
  <c r="K12" i="1"/>
  <c r="K15" i="1" s="1"/>
  <c r="K11" i="1"/>
  <c r="B6" i="1"/>
  <c r="D41" i="4" l="1"/>
  <c r="E18" i="3" s="1"/>
  <c r="E20" i="3" s="1"/>
  <c r="C21" i="3" s="1"/>
  <c r="K23" i="1"/>
  <c r="K24" i="1"/>
  <c r="D35" i="4"/>
  <c r="D43" i="4" s="1"/>
  <c r="E7" i="3" s="1"/>
  <c r="C11" i="3" s="1"/>
  <c r="C41" i="4"/>
  <c r="C35" i="4"/>
  <c r="C75" i="3"/>
  <c r="D37" i="4"/>
  <c r="D49" i="4" s="1"/>
  <c r="C92" i="3" s="1"/>
  <c r="C30" i="3"/>
  <c r="C31" i="3"/>
  <c r="C37" i="4"/>
  <c r="K20" i="1"/>
  <c r="C15" i="3"/>
  <c r="C18" i="3"/>
  <c r="D15" i="8"/>
  <c r="C16" i="8" s="1"/>
  <c r="D7" i="8"/>
  <c r="E33" i="3" l="1"/>
  <c r="E34" i="3" s="1"/>
  <c r="E39" i="3" s="1"/>
  <c r="C41" i="3" s="1"/>
  <c r="C33" i="3"/>
  <c r="E77" i="3"/>
  <c r="E78" i="3" s="1"/>
  <c r="E88" i="3" s="1"/>
  <c r="E99" i="3" s="1"/>
  <c r="E15" i="3"/>
  <c r="C77" i="3"/>
  <c r="C7" i="3"/>
  <c r="E11" i="3"/>
  <c r="D28" i="7" s="1"/>
  <c r="F28" i="7" s="1"/>
  <c r="D45" i="4"/>
  <c r="E9" i="3" s="1"/>
  <c r="C45" i="4"/>
  <c r="C43" i="4"/>
  <c r="C49" i="4"/>
  <c r="D47" i="4"/>
  <c r="C47" i="4"/>
  <c r="K19" i="1"/>
  <c r="E92" i="3"/>
  <c r="E43" i="3"/>
  <c r="E55" i="3" s="1"/>
  <c r="C43" i="1"/>
  <c r="C33" i="8"/>
  <c r="E54" i="3"/>
  <c r="D33" i="8"/>
  <c r="K37" i="2" s="1"/>
  <c r="E97" i="3"/>
  <c r="J50" i="3"/>
  <c r="E41" i="3"/>
  <c r="C20" i="3"/>
  <c r="D31" i="8"/>
  <c r="C39" i="3"/>
  <c r="J93" i="3"/>
  <c r="AC97" i="3" s="1"/>
  <c r="C35" i="3"/>
  <c r="C31" i="8"/>
  <c r="D25" i="8"/>
  <c r="C25" i="8"/>
  <c r="D16" i="8"/>
  <c r="C53" i="1"/>
  <c r="D8" i="8"/>
  <c r="O30" i="2" s="1"/>
  <c r="C52" i="1"/>
  <c r="C8" i="8"/>
  <c r="E98" i="3" l="1"/>
  <c r="K93" i="3"/>
  <c r="AA102" i="3" s="1"/>
  <c r="C79" i="3"/>
  <c r="C43" i="3"/>
  <c r="E84" i="3"/>
  <c r="E86" i="3" s="1"/>
  <c r="C23" i="3"/>
  <c r="C28" i="7"/>
  <c r="C88" i="3"/>
  <c r="C84" i="3"/>
  <c r="L93" i="3"/>
  <c r="K105" i="3" s="1"/>
  <c r="C86" i="3"/>
  <c r="C45" i="1"/>
  <c r="AA103" i="3"/>
  <c r="E23" i="3"/>
  <c r="C22" i="7" s="1"/>
  <c r="C90" i="3"/>
  <c r="E90" i="3"/>
  <c r="E101" i="3" s="1"/>
  <c r="AA105" i="3"/>
  <c r="AA106" i="3"/>
  <c r="T99" i="3"/>
  <c r="AA107" i="3"/>
  <c r="AA104" i="3"/>
  <c r="AC56" i="3"/>
  <c r="AA108" i="3"/>
  <c r="AC98" i="3"/>
  <c r="M98" i="3"/>
  <c r="T98" i="3"/>
  <c r="AA109" i="3"/>
  <c r="C9" i="3"/>
  <c r="E46" i="3"/>
  <c r="C49" i="1" s="1"/>
  <c r="E56" i="3"/>
  <c r="AA100" i="3"/>
  <c r="C44" i="1"/>
  <c r="AA99" i="3"/>
  <c r="E13" i="3"/>
  <c r="C13" i="3"/>
  <c r="K50" i="3"/>
  <c r="AA56" i="3" s="1"/>
  <c r="E100" i="3"/>
  <c r="L92" i="3"/>
  <c r="C50" i="1"/>
  <c r="K101" i="3"/>
  <c r="G31" i="8"/>
  <c r="K36" i="2"/>
  <c r="G8" i="8"/>
  <c r="E48" i="3"/>
  <c r="C48" i="3"/>
  <c r="O31" i="2"/>
  <c r="G16" i="8"/>
  <c r="K98" i="3"/>
  <c r="C46" i="3"/>
  <c r="AA101" i="3"/>
  <c r="M54" i="3"/>
  <c r="T54" i="3"/>
  <c r="K97" i="3"/>
  <c r="K99" i="3"/>
  <c r="G33" i="8"/>
  <c r="T97" i="3"/>
  <c r="AA98" i="3"/>
  <c r="M97" i="3"/>
  <c r="AA97" i="3"/>
  <c r="AC55" i="3"/>
  <c r="K100" i="3"/>
  <c r="K111" i="3"/>
  <c r="K110" i="3"/>
  <c r="M99" i="3" l="1"/>
  <c r="K102" i="3"/>
  <c r="K107" i="3"/>
  <c r="K108" i="3"/>
  <c r="K109" i="3"/>
  <c r="K103" i="3"/>
  <c r="K104" i="3"/>
  <c r="K106" i="3"/>
  <c r="D24" i="8"/>
  <c r="C29" i="8" s="1"/>
  <c r="C24" i="8"/>
  <c r="D6" i="7"/>
  <c r="K92" i="3"/>
  <c r="S98" i="3" s="1"/>
  <c r="C51" i="1"/>
  <c r="C6" i="7"/>
  <c r="K49" i="3"/>
  <c r="J58" i="3" s="1"/>
  <c r="E58" i="3"/>
  <c r="K55" i="3"/>
  <c r="K56" i="3"/>
  <c r="M56" i="3"/>
  <c r="AA65" i="3"/>
  <c r="K58" i="3"/>
  <c r="AA66" i="3"/>
  <c r="AA62" i="3"/>
  <c r="M55" i="3"/>
  <c r="AA58" i="3"/>
  <c r="T55" i="3"/>
  <c r="AA55" i="3"/>
  <c r="L50" i="3"/>
  <c r="K59" i="3" s="1"/>
  <c r="AA63" i="3"/>
  <c r="K54" i="3"/>
  <c r="AA64" i="3"/>
  <c r="AA57" i="3"/>
  <c r="K57" i="3"/>
  <c r="AA60" i="3"/>
  <c r="AA59" i="3"/>
  <c r="T56" i="3"/>
  <c r="AA67" i="3"/>
  <c r="AA61" i="3"/>
  <c r="C37" i="7"/>
  <c r="E25" i="3"/>
  <c r="C25" i="3"/>
  <c r="D37" i="7"/>
  <c r="F37" i="7" s="1"/>
  <c r="E57" i="3"/>
  <c r="C48" i="1"/>
  <c r="L49" i="3"/>
  <c r="S99" i="3"/>
  <c r="L99" i="3"/>
  <c r="Z59" i="3" l="1"/>
  <c r="J54" i="3"/>
  <c r="Z55" i="3"/>
  <c r="J99" i="3"/>
  <c r="Z103" i="3"/>
  <c r="J56" i="3"/>
  <c r="Z100" i="3"/>
  <c r="Z107" i="3"/>
  <c r="Z101" i="3"/>
  <c r="Z109" i="3"/>
  <c r="D29" i="8"/>
  <c r="C40" i="8" s="1"/>
  <c r="J98" i="3"/>
  <c r="J103" i="3"/>
  <c r="Z104" i="3"/>
  <c r="Z102" i="3"/>
  <c r="Z98" i="3"/>
  <c r="S100" i="3"/>
  <c r="Z56" i="3"/>
  <c r="AB56" i="3"/>
  <c r="J97" i="3"/>
  <c r="Z99" i="3"/>
  <c r="J101" i="3"/>
  <c r="Z106" i="3"/>
  <c r="J100" i="3"/>
  <c r="M92" i="3"/>
  <c r="J108" i="3" s="1"/>
  <c r="J105" i="3"/>
  <c r="Z108" i="3"/>
  <c r="AB57" i="3"/>
  <c r="Z58" i="3"/>
  <c r="S57" i="3"/>
  <c r="J57" i="3"/>
  <c r="S55" i="3"/>
  <c r="J55" i="3"/>
  <c r="L55" i="3"/>
  <c r="M49" i="3"/>
  <c r="L57" i="3" s="1"/>
  <c r="L98" i="3"/>
  <c r="Z97" i="3"/>
  <c r="Z105" i="3"/>
  <c r="AB98" i="3"/>
  <c r="J104" i="3"/>
  <c r="J106" i="3"/>
  <c r="J102" i="3"/>
  <c r="AB99" i="3"/>
  <c r="D8" i="7"/>
  <c r="C8" i="7"/>
  <c r="Z57" i="3"/>
  <c r="Z63" i="3"/>
  <c r="J63" i="3"/>
  <c r="K61" i="3"/>
  <c r="K67" i="3"/>
  <c r="K63" i="3"/>
  <c r="K64" i="3"/>
  <c r="K65" i="3"/>
  <c r="K62" i="3"/>
  <c r="K68" i="3"/>
  <c r="K66" i="3"/>
  <c r="K60" i="3"/>
  <c r="Z62" i="3"/>
  <c r="Z60" i="3"/>
  <c r="J59" i="3"/>
  <c r="C26" i="3"/>
  <c r="C14" i="7"/>
  <c r="D22" i="8"/>
  <c r="C34" i="7"/>
  <c r="D14" i="7"/>
  <c r="C22" i="8"/>
  <c r="J64" i="3"/>
  <c r="S56" i="3"/>
  <c r="L56" i="3"/>
  <c r="J62" i="3"/>
  <c r="Z61" i="3"/>
  <c r="J61" i="3"/>
  <c r="J60" i="3"/>
  <c r="J110" i="3" l="1"/>
  <c r="J109" i="3"/>
  <c r="L100" i="3"/>
  <c r="G29" i="8"/>
  <c r="K35" i="2"/>
  <c r="J111" i="3"/>
  <c r="J107" i="3"/>
  <c r="J68" i="3"/>
  <c r="Z67" i="3"/>
  <c r="J66" i="3"/>
  <c r="J67" i="3"/>
  <c r="Z65" i="3"/>
  <c r="J65" i="3"/>
  <c r="Z66" i="3"/>
  <c r="Z64" i="3"/>
  <c r="D9" i="7"/>
  <c r="D43" i="8"/>
  <c r="C9" i="7"/>
  <c r="C46" i="1"/>
  <c r="C43" i="8"/>
  <c r="C16" i="7"/>
  <c r="D16" i="7"/>
  <c r="C27" i="8"/>
  <c r="D27" i="8"/>
  <c r="C46" i="8" l="1"/>
  <c r="D46" i="8"/>
  <c r="G43" i="8"/>
  <c r="K39" i="2"/>
  <c r="G9" i="7"/>
  <c r="K30" i="2"/>
  <c r="K34" i="2"/>
  <c r="C35" i="8"/>
  <c r="G27" i="8"/>
  <c r="C17" i="7"/>
  <c r="C38" i="8"/>
  <c r="D17" i="7"/>
  <c r="D38" i="8"/>
  <c r="C47" i="1"/>
  <c r="G46" i="8" l="1"/>
  <c r="K41" i="2"/>
  <c r="K38" i="2"/>
  <c r="C45" i="8"/>
  <c r="D45" i="8"/>
  <c r="G38" i="8"/>
  <c r="G17" i="7"/>
  <c r="K31" i="2"/>
  <c r="K40" i="2" l="1"/>
  <c r="C48" i="8"/>
  <c r="G45" i="8"/>
  <c r="D48" i="8"/>
  <c r="K42" i="2" l="1"/>
  <c r="G48" i="8"/>
  <c r="C54" i="1"/>
  <c r="C50" i="8"/>
  <c r="S20" i="2"/>
  <c r="S19" i="2"/>
</calcChain>
</file>

<file path=xl/sharedStrings.xml><?xml version="1.0" encoding="utf-8"?>
<sst xmlns="http://schemas.openxmlformats.org/spreadsheetml/2006/main" count="536" uniqueCount="334">
  <si>
    <t/>
  </si>
  <si>
    <t>t</t>
  </si>
  <si>
    <t>M curve</t>
  </si>
  <si>
    <t>P curve</t>
  </si>
  <si>
    <t>M simp</t>
  </si>
  <si>
    <t>P simp</t>
  </si>
  <si>
    <t>M pts</t>
  </si>
  <si>
    <t>P pts</t>
  </si>
  <si>
    <r>
      <rPr>
        <b/>
        <sz val="10"/>
        <rFont val="Arial"/>
        <family val="2"/>
      </rPr>
      <t>EXAMPLE DESCRIPTION</t>
    </r>
  </si>
  <si>
    <r>
      <rPr>
        <b/>
        <sz val="10"/>
        <rFont val="Arial"/>
        <family val="2"/>
      </rPr>
      <t>GEOMETRY, PROPERTIES AND LOADING</t>
    </r>
  </si>
  <si>
    <r>
      <rPr>
        <sz val="10"/>
        <rFont val="Arial"/>
        <family val="2"/>
      </rPr>
      <t>(The dimensions of the cross-section are in mm.)</t>
    </r>
  </si>
  <si>
    <r>
      <rPr>
        <b/>
        <sz val="10"/>
        <rFont val="Arial"/>
        <family val="2"/>
      </rPr>
      <t>COMPUTER FILE: IS 11384 2022 CCD Ex001</t>
    </r>
  </si>
  <si>
    <r>
      <rPr>
        <b/>
        <sz val="10"/>
        <rFont val="Arial"/>
        <family val="2"/>
      </rPr>
      <t>Applicable Programs</t>
    </r>
  </si>
  <si>
    <r>
      <rPr>
        <sz val="10"/>
        <rFont val="Arial"/>
        <family val="2"/>
      </rPr>
      <t>➤  ETABS</t>
    </r>
  </si>
  <si>
    <r>
      <rPr>
        <b/>
        <sz val="10"/>
        <rFont val="Arial"/>
        <family val="2"/>
      </rPr>
      <t>RESULTS COMPARISON</t>
    </r>
  </si>
  <si>
    <r>
      <rPr>
        <b/>
        <sz val="9"/>
        <rFont val="Arial"/>
        <family val="2"/>
      </rPr>
      <t>Output Parameter</t>
    </r>
  </si>
  <si>
    <r>
      <t>Axial - P</t>
    </r>
    <r>
      <rPr>
        <vertAlign val="subscript"/>
        <sz val="9"/>
        <rFont val="Arial"/>
        <family val="2"/>
      </rPr>
      <t>d</t>
    </r>
    <r>
      <rPr>
        <sz val="9"/>
        <rFont val="Arial"/>
        <family val="2"/>
      </rPr>
      <t xml:space="preserve"> (kN)</t>
    </r>
  </si>
  <si>
    <r>
      <t>Axial - P'</t>
    </r>
    <r>
      <rPr>
        <vertAlign val="subscript"/>
        <sz val="9"/>
        <rFont val="Arial"/>
        <family val="2"/>
      </rPr>
      <t>d,C,z</t>
    </r>
    <r>
      <rPr>
        <sz val="9"/>
        <rFont val="Arial"/>
        <family val="2"/>
      </rPr>
      <t xml:space="preserve"> (kN)</t>
    </r>
  </si>
  <si>
    <r>
      <t>Axial - P'</t>
    </r>
    <r>
      <rPr>
        <vertAlign val="subscript"/>
        <sz val="9"/>
        <rFont val="Arial"/>
        <family val="2"/>
      </rPr>
      <t>d,C,y</t>
    </r>
    <r>
      <rPr>
        <sz val="9"/>
        <rFont val="Arial"/>
        <family val="2"/>
      </rPr>
      <t xml:space="preserve"> (kN)</t>
    </r>
  </si>
  <si>
    <r>
      <t>Axial reduction factor - χ</t>
    </r>
    <r>
      <rPr>
        <vertAlign val="subscript"/>
        <sz val="9"/>
        <rFont val="Arial"/>
        <family val="2"/>
      </rPr>
      <t>z</t>
    </r>
  </si>
  <si>
    <r>
      <t>Axial reduction factor - χ</t>
    </r>
    <r>
      <rPr>
        <vertAlign val="subscript"/>
        <sz val="9"/>
        <rFont val="Arial"/>
        <family val="2"/>
      </rPr>
      <t>y</t>
    </r>
  </si>
  <si>
    <r>
      <t>Flexure – M</t>
    </r>
    <r>
      <rPr>
        <vertAlign val="subscript"/>
        <sz val="9"/>
        <rFont val="Arial"/>
        <family val="2"/>
      </rPr>
      <t>max,z</t>
    </r>
    <r>
      <rPr>
        <sz val="9"/>
        <rFont val="Arial"/>
        <family val="2"/>
      </rPr>
      <t xml:space="preserve"> (kN-m)</t>
    </r>
  </si>
  <si>
    <r>
      <t>Flexure – M</t>
    </r>
    <r>
      <rPr>
        <vertAlign val="subscript"/>
        <sz val="9"/>
        <rFont val="Arial"/>
        <family val="2"/>
      </rPr>
      <t>dz</t>
    </r>
    <r>
      <rPr>
        <sz val="9"/>
        <rFont val="Arial"/>
        <family val="2"/>
      </rPr>
      <t xml:space="preserve"> (kN-m)</t>
    </r>
  </si>
  <si>
    <r>
      <t>Flexure – M</t>
    </r>
    <r>
      <rPr>
        <vertAlign val="subscript"/>
        <sz val="9"/>
        <rFont val="Arial"/>
        <family val="2"/>
      </rPr>
      <t>max,y</t>
    </r>
    <r>
      <rPr>
        <sz val="9"/>
        <rFont val="Arial"/>
        <family val="2"/>
      </rPr>
      <t xml:space="preserve"> (kN-m)</t>
    </r>
  </si>
  <si>
    <r>
      <t>Flexure – M</t>
    </r>
    <r>
      <rPr>
        <vertAlign val="subscript"/>
        <sz val="9"/>
        <rFont val="Arial"/>
        <family val="2"/>
      </rPr>
      <t>dy</t>
    </r>
    <r>
      <rPr>
        <sz val="9"/>
        <rFont val="Arial"/>
        <family val="2"/>
      </rPr>
      <t xml:space="preserve"> (kN-m)</t>
    </r>
  </si>
  <si>
    <r>
      <t>Shear - V</t>
    </r>
    <r>
      <rPr>
        <vertAlign val="subscript"/>
        <sz val="9"/>
        <rFont val="Arial"/>
        <family val="2"/>
      </rPr>
      <t>dy</t>
    </r>
    <r>
      <rPr>
        <sz val="9"/>
        <rFont val="Arial"/>
        <family val="2"/>
      </rPr>
      <t xml:space="preserve"> (kN)</t>
    </r>
  </si>
  <si>
    <r>
      <t>Shear - V</t>
    </r>
    <r>
      <rPr>
        <vertAlign val="subscript"/>
        <sz val="9"/>
        <rFont val="Arial"/>
        <family val="2"/>
      </rPr>
      <t>dz</t>
    </r>
    <r>
      <rPr>
        <sz val="9"/>
        <rFont val="Arial"/>
        <family val="2"/>
      </rPr>
      <t xml:space="preserve"> (kN)</t>
    </r>
  </si>
  <si>
    <t>D/C – Combined Axial and
Biaxial Bending</t>
  </si>
  <si>
    <r>
      <rPr>
        <b/>
        <sz val="10"/>
        <rFont val="Arial"/>
        <family val="2"/>
      </rPr>
      <t>Shear along y-axis: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</si>
  <si>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v,y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</si>
  <si>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h t</t>
    </r>
    <r>
      <rPr>
        <i/>
        <vertAlign val="subscript"/>
        <sz val="9"/>
        <rFont val="Arial"/>
        <family val="2"/>
      </rPr>
      <t>w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</si>
  <si>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d,y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</si>
  <si>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v,y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/√3</t>
    </r>
  </si>
  <si>
    <r>
      <rPr>
        <sz val="9"/>
        <rFont val="Arial"/>
        <family val="2"/>
      </rPr>
      <t>(kN)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</si>
  <si>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>/V</t>
    </r>
    <r>
      <rPr>
        <b/>
        <i/>
        <vertAlign val="subscript"/>
        <sz val="9"/>
        <rFont val="Arial"/>
        <family val="2"/>
      </rPr>
      <t>d,y</t>
    </r>
    <r>
      <rPr>
        <b/>
        <i/>
        <sz val="9"/>
        <rFont val="Arial"/>
        <family val="2"/>
      </rPr>
      <t xml:space="preserve"> =</t>
    </r>
  </si>
  <si>
    <r>
      <rPr>
        <i/>
        <sz val="8"/>
        <rFont val="Arial"/>
        <family val="2"/>
      </rPr>
      <t>&lt; 0.6</t>
    </r>
  </si>
  <si>
    <r>
      <rPr>
        <b/>
        <sz val="10"/>
        <rFont val="Arial"/>
        <family val="2"/>
      </rPr>
      <t>Shear along z-axis: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</si>
  <si>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v,z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</si>
  <si>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2 b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t</t>
    </r>
    <r>
      <rPr>
        <i/>
        <vertAlign val="subscript"/>
        <sz val="9"/>
        <rFont val="Arial"/>
        <family val="2"/>
      </rPr>
      <t>f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</si>
  <si>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d,z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</si>
  <si>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v,z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/√3</t>
    </r>
  </si>
  <si>
    <r>
      <rPr>
        <i/>
        <sz val="8"/>
        <rFont val="Arial"/>
        <family val="2"/>
      </rPr>
      <t>shear resistance along z-axis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</si>
  <si>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>/V</t>
    </r>
    <r>
      <rPr>
        <b/>
        <i/>
        <vertAlign val="subscript"/>
        <sz val="9"/>
        <rFont val="Arial"/>
        <family val="2"/>
      </rPr>
      <t>d,z</t>
    </r>
    <r>
      <rPr>
        <b/>
        <i/>
        <sz val="9"/>
        <rFont val="Arial"/>
        <family val="2"/>
      </rPr>
      <t xml:space="preserve"> =</t>
    </r>
  </si>
  <si>
    <r>
      <rPr>
        <b/>
        <sz val="10"/>
        <rFont val="Arial"/>
        <family val="2"/>
      </rPr>
      <t>Demand/Capacity (D/C) ratio: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</si>
  <si>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c,y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</si>
  <si>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(α</t>
    </r>
    <r>
      <rPr>
        <i/>
        <vertAlign val="subscript"/>
        <sz val="9"/>
        <rFont val="Arial"/>
        <family val="2"/>
      </rPr>
      <t>cc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 η λ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</si>
  <si>
    <r>
      <rPr>
        <i/>
        <sz val="8"/>
        <rFont val="Arial"/>
        <family val="2"/>
      </rPr>
      <t>axial resistance ratio term due to concrete (y-axis)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</si>
  <si>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c,z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</si>
  <si>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(α</t>
    </r>
    <r>
      <rPr>
        <i/>
        <vertAlign val="subscript"/>
        <sz val="9"/>
        <rFont val="Arial"/>
        <family val="2"/>
      </rPr>
      <t>cc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 η λ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</si>
  <si>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d,y</t>
    </r>
    <r>
      <rPr>
        <b/>
        <i/>
        <sz val="9"/>
        <rFont val="Arial"/>
        <family val="2"/>
      </rPr>
      <t xml:space="preserve"> = P</t>
    </r>
    <r>
      <rPr>
        <b/>
        <i/>
        <vertAlign val="subscript"/>
        <sz val="9"/>
        <rFont val="Arial"/>
        <family val="2"/>
      </rPr>
      <t>d,z</t>
    </r>
    <r>
      <rPr>
        <b/>
        <i/>
        <sz val="9"/>
        <rFont val="Arial"/>
        <family val="2"/>
      </rPr>
      <t xml:space="preserve"> = 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</si>
  <si>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χ</t>
    </r>
    <r>
      <rPr>
        <b/>
        <i/>
        <vertAlign val="subscript"/>
        <sz val="9"/>
        <rFont val="Arial"/>
        <family val="2"/>
      </rPr>
      <t>c,y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</si>
  <si>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P</t>
    </r>
    <r>
      <rPr>
        <i/>
        <vertAlign val="subscript"/>
        <sz val="9"/>
        <rFont val="Arial"/>
        <family val="2"/>
      </rPr>
      <t>c,y</t>
    </r>
    <r>
      <rPr>
        <i/>
        <sz val="9"/>
        <rFont val="Arial"/>
        <family val="2"/>
      </rPr>
      <t>/P</t>
    </r>
    <r>
      <rPr>
        <i/>
        <vertAlign val="subscript"/>
        <sz val="9"/>
        <rFont val="Arial"/>
        <family val="2"/>
      </rPr>
      <t>d,y</t>
    </r>
  </si>
  <si>
    <r>
      <rPr>
        <b/>
        <i/>
        <sz val="9"/>
        <rFont val="Arial"/>
        <family val="2"/>
      </rPr>
      <t>χ</t>
    </r>
    <r>
      <rPr>
        <b/>
        <i/>
        <vertAlign val="subscript"/>
        <sz val="9"/>
        <rFont val="Arial"/>
        <family val="2"/>
      </rPr>
      <t>c,z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</si>
  <si>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P</t>
    </r>
    <r>
      <rPr>
        <i/>
        <vertAlign val="subscript"/>
        <sz val="9"/>
        <rFont val="Arial"/>
        <family val="2"/>
      </rPr>
      <t>c,z</t>
    </r>
    <r>
      <rPr>
        <i/>
        <sz val="9"/>
        <rFont val="Arial"/>
        <family val="2"/>
      </rPr>
      <t>/P</t>
    </r>
    <r>
      <rPr>
        <i/>
        <vertAlign val="subscript"/>
        <sz val="9"/>
        <rFont val="Arial"/>
        <family val="2"/>
      </rPr>
      <t>d,z</t>
    </r>
  </si>
  <si>
    <r>
      <rPr>
        <b/>
        <i/>
        <sz val="9"/>
        <rFont val="Arial"/>
        <family val="2"/>
      </rPr>
      <t>χ</t>
    </r>
    <r>
      <rPr>
        <b/>
        <i/>
        <vertAlign val="subscript"/>
        <sz val="9"/>
        <rFont val="Arial"/>
        <family val="2"/>
      </rPr>
      <t>d,y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</si>
  <si>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P/P</t>
    </r>
    <r>
      <rPr>
        <i/>
        <vertAlign val="subscript"/>
        <sz val="9"/>
        <rFont val="Arial"/>
        <family val="2"/>
      </rPr>
      <t>d,y</t>
    </r>
  </si>
  <si>
    <r>
      <rPr>
        <b/>
        <i/>
        <sz val="9"/>
        <rFont val="Arial"/>
        <family val="2"/>
      </rPr>
      <t>χ</t>
    </r>
    <r>
      <rPr>
        <b/>
        <i/>
        <vertAlign val="subscript"/>
        <sz val="9"/>
        <rFont val="Arial"/>
        <family val="2"/>
      </rPr>
      <t>d,z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</si>
  <si>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P/P</t>
    </r>
    <r>
      <rPr>
        <i/>
        <vertAlign val="subscript"/>
        <sz val="9"/>
        <rFont val="Arial"/>
        <family val="2"/>
      </rPr>
      <t>d,z</t>
    </r>
  </si>
  <si>
    <r>
      <rPr>
        <i/>
        <sz val="9"/>
        <rFont val="Arial"/>
        <family val="2"/>
      </rPr>
      <t>1 − (1 − χ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) χ</t>
    </r>
    <r>
      <rPr>
        <i/>
        <vertAlign val="subscript"/>
        <sz val="9"/>
        <rFont val="Arial"/>
        <family val="2"/>
      </rPr>
      <t>d,y</t>
    </r>
    <r>
      <rPr>
        <i/>
        <sz val="9"/>
        <rFont val="Arial"/>
        <family val="2"/>
      </rPr>
      <t xml:space="preserve"> / ((1 − χ</t>
    </r>
    <r>
      <rPr>
        <i/>
        <vertAlign val="subscript"/>
        <sz val="9"/>
        <rFont val="Arial"/>
        <family val="2"/>
      </rPr>
      <t>c,y</t>
    </r>
    <r>
      <rPr>
        <i/>
        <sz val="9"/>
        <rFont val="Arial"/>
        <family val="2"/>
      </rPr>
      <t>) χ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)</t>
    </r>
  </si>
  <si>
    <r>
      <rPr>
        <i/>
        <sz val="9"/>
        <rFont val="Arial"/>
        <family val="2"/>
      </rPr>
      <t>1 − (1 − χ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>) χ</t>
    </r>
    <r>
      <rPr>
        <i/>
        <vertAlign val="subscript"/>
        <sz val="9"/>
        <rFont val="Arial"/>
        <family val="2"/>
      </rPr>
      <t>d,z</t>
    </r>
    <r>
      <rPr>
        <i/>
        <sz val="9"/>
        <rFont val="Arial"/>
        <family val="2"/>
      </rPr>
      <t xml:space="preserve"> / ((1 − χ</t>
    </r>
    <r>
      <rPr>
        <i/>
        <vertAlign val="subscript"/>
        <sz val="9"/>
        <rFont val="Arial"/>
        <family val="2"/>
      </rPr>
      <t>c,z</t>
    </r>
    <r>
      <rPr>
        <i/>
        <sz val="9"/>
        <rFont val="Arial"/>
        <family val="2"/>
      </rPr>
      <t>) χ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</si>
  <si>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 =</t>
    </r>
  </si>
  <si>
    <r>
      <rPr>
        <i/>
        <sz val="8"/>
        <rFont val="Arial"/>
        <family val="2"/>
      </rPr>
      <t>&lt; 0.9 = α</t>
    </r>
    <r>
      <rPr>
        <i/>
        <vertAlign val="subscript"/>
        <sz val="8"/>
        <rFont val="Arial"/>
        <family val="2"/>
      </rPr>
      <t>mm</t>
    </r>
    <r>
      <rPr>
        <i/>
        <sz val="8"/>
        <rFont val="Arial"/>
        <family val="2"/>
      </rPr>
      <t xml:space="preserve">  (minor-axis D/C)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</si>
  <si>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 =</t>
    </r>
  </si>
  <si>
    <r>
      <rPr>
        <i/>
        <sz val="8"/>
        <rFont val="Arial"/>
        <family val="2"/>
      </rPr>
      <t>&gt; 0.9 = α</t>
    </r>
    <r>
      <rPr>
        <i/>
        <vertAlign val="subscript"/>
        <sz val="8"/>
        <rFont val="Arial"/>
        <family val="2"/>
      </rPr>
      <t>mm</t>
    </r>
    <r>
      <rPr>
        <i/>
        <sz val="8"/>
        <rFont val="Arial"/>
        <family val="2"/>
      </rPr>
      <t xml:space="preserve">  (major-axis D/C)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</si>
  <si>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 + M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 =</t>
    </r>
  </si>
  <si>
    <r>
      <rPr>
        <i/>
        <sz val="8"/>
        <rFont val="Arial"/>
        <family val="2"/>
      </rPr>
      <t>combined axial and biaxial bending demand/capacity ratio – governs</t>
    </r>
  </si>
  <si>
    <r>
      <rPr>
        <b/>
        <sz val="10"/>
        <rFont val="Arial"/>
        <family val="2"/>
      </rPr>
      <t>Buckling about z-axis:</t>
    </r>
  </si>
  <si>
    <r>
      <rPr>
        <b/>
        <i/>
        <sz val="9"/>
        <rFont val="Arial"/>
        <family val="2"/>
      </rPr>
      <t>α</t>
    </r>
    <r>
      <rPr>
        <b/>
        <i/>
        <vertAlign val="subscript"/>
        <sz val="9"/>
        <rFont val="Arial"/>
        <family val="2"/>
      </rPr>
      <t>z</t>
    </r>
  </si>
  <si>
    <r>
      <rPr>
        <sz val="9"/>
        <rFont val="Arial"/>
        <family val="2"/>
      </rPr>
      <t>Buckling curve b → α = 0.34</t>
    </r>
  </si>
  <si>
    <r>
      <rPr>
        <b/>
        <i/>
        <sz val="9"/>
        <rFont val="Arial"/>
        <family val="2"/>
      </rPr>
      <t>Φ =</t>
    </r>
  </si>
  <si>
    <r>
      <rPr>
        <i/>
        <sz val="9"/>
        <rFont val="Arial"/>
        <family val="2"/>
      </rPr>
      <t>0.5 [1 + α (λ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 xml:space="preserve"> − 0.2) + λ</t>
    </r>
    <r>
      <rPr>
        <i/>
        <vertAlign val="subscript"/>
        <sz val="9"/>
        <rFont val="Arial"/>
        <family val="2"/>
      </rPr>
      <t>z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]</t>
    </r>
  </si>
  <si>
    <r>
      <rPr>
        <b/>
        <i/>
        <sz val="9"/>
        <rFont val="Arial"/>
        <family val="2"/>
      </rPr>
      <t>χ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</si>
  <si>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1/(Φ + √(Φ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− λ</t>
    </r>
    <r>
      <rPr>
        <i/>
        <vertAlign val="subscript"/>
        <sz val="9"/>
        <rFont val="Arial"/>
        <family val="2"/>
      </rPr>
      <t>z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))</t>
    </r>
  </si>
  <si>
    <r>
      <rPr>
        <i/>
        <sz val="8"/>
        <rFont val="Arial"/>
        <family val="2"/>
      </rPr>
      <t>axial reduction factor (buckling about z-axis)</t>
    </r>
  </si>
  <si>
    <r>
      <rPr>
        <b/>
        <i/>
        <sz val="9"/>
        <rFont val="Arial"/>
        <family val="2"/>
      </rPr>
      <t>P/(χ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>) =</t>
    </r>
  </si>
  <si>
    <r>
      <rPr>
        <i/>
        <sz val="8"/>
        <rFont val="Arial"/>
        <family val="2"/>
      </rPr>
      <t>utilization ratio (non-dimensional)</t>
    </r>
  </si>
  <si>
    <r>
      <rPr>
        <b/>
        <sz val="10"/>
        <rFont val="Arial"/>
        <family val="2"/>
      </rPr>
      <t>Buckling about y-axis:</t>
    </r>
  </si>
  <si>
    <r>
      <rPr>
        <b/>
        <i/>
        <sz val="9"/>
        <rFont val="Arial"/>
        <family val="2"/>
      </rPr>
      <t>α</t>
    </r>
    <r>
      <rPr>
        <b/>
        <i/>
        <vertAlign val="subscript"/>
        <sz val="9"/>
        <rFont val="Arial"/>
        <family val="2"/>
      </rPr>
      <t>y</t>
    </r>
  </si>
  <si>
    <r>
      <rPr>
        <sz val="9"/>
        <rFont val="Arial"/>
        <family val="2"/>
      </rPr>
      <t>Buckling curve c → α = 0.49</t>
    </r>
  </si>
  <si>
    <r>
      <rPr>
        <i/>
        <sz val="9"/>
        <rFont val="Arial"/>
        <family val="2"/>
      </rPr>
      <t>0.5 [1 + α (λ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 xml:space="preserve"> − 0.2) + λ</t>
    </r>
    <r>
      <rPr>
        <i/>
        <vertAlign val="subscript"/>
        <sz val="9"/>
        <rFont val="Arial"/>
        <family val="2"/>
      </rPr>
      <t>y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]</t>
    </r>
  </si>
  <si>
    <r>
      <rPr>
        <b/>
        <i/>
        <sz val="9"/>
        <rFont val="Arial"/>
        <family val="2"/>
      </rPr>
      <t>χ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</si>
  <si>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1/(Φ + √(Φ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− λ</t>
    </r>
    <r>
      <rPr>
        <i/>
        <vertAlign val="subscript"/>
        <sz val="9"/>
        <rFont val="Arial"/>
        <family val="2"/>
      </rPr>
      <t>y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))</t>
    </r>
  </si>
  <si>
    <r>
      <rPr>
        <i/>
        <sz val="8"/>
        <rFont val="Arial"/>
        <family val="2"/>
      </rPr>
      <t>axial reduction factor (buckling about y-axis)</t>
    </r>
  </si>
  <si>
    <r>
      <rPr>
        <b/>
        <i/>
        <sz val="9"/>
        <rFont val="Arial"/>
        <family val="2"/>
      </rPr>
      <t>P/(χ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>) =</t>
    </r>
  </si>
  <si>
    <r>
      <rPr>
        <b/>
        <sz val="10"/>
        <rFont val="Arial"/>
        <family val="2"/>
      </rPr>
      <t>Bending about z-axis:</t>
    </r>
  </si>
  <si>
    <r>
      <rPr>
        <i/>
        <sz val="10"/>
        <rFont val="Arial"/>
        <family val="2"/>
      </rPr>
      <t>For the first-order moment, its diagram is linear with ψ = M</t>
    </r>
    <r>
      <rPr>
        <i/>
        <vertAlign val="subscript"/>
        <sz val="10"/>
        <rFont val="Arial"/>
        <family val="2"/>
      </rPr>
      <t>1</t>
    </r>
    <r>
      <rPr>
        <i/>
        <sz val="10"/>
        <rFont val="Arial"/>
        <family val="2"/>
      </rPr>
      <t>/M</t>
    </r>
    <r>
      <rPr>
        <i/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= 0 → C</t>
    </r>
    <r>
      <rPr>
        <i/>
        <vertAlign val="subscript"/>
        <sz val="10"/>
        <rFont val="Arial"/>
        <family val="2"/>
      </rPr>
      <t>mm</t>
    </r>
    <r>
      <rPr>
        <i/>
        <sz val="10"/>
        <rFont val="Arial"/>
        <family val="2"/>
      </rPr>
      <t xml:space="preserve"> = 0.6 + 0.4ψ = 0.6 &gt; 0.4</t>
    </r>
  </si>
  <si>
    <r>
      <rPr>
        <b/>
        <i/>
        <sz val="9"/>
        <rFont val="Arial"/>
        <family val="2"/>
      </rPr>
      <t>C</t>
    </r>
    <r>
      <rPr>
        <b/>
        <i/>
        <vertAlign val="subscript"/>
        <sz val="9"/>
        <rFont val="Arial"/>
        <family val="2"/>
      </rPr>
      <t>mm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</si>
  <si>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0.6 + 0.4 ψ</t>
    </r>
  </si>
  <si>
    <r>
      <rPr>
        <i/>
        <sz val="8"/>
        <rFont val="Arial"/>
        <family val="2"/>
      </rPr>
      <t>ψ = M</t>
    </r>
    <r>
      <rPr>
        <i/>
        <vertAlign val="subscript"/>
        <sz val="8"/>
        <rFont val="Arial"/>
        <family val="2"/>
      </rPr>
      <t>1</t>
    </r>
    <r>
      <rPr>
        <i/>
        <sz val="8"/>
        <rFont val="Arial"/>
        <family val="2"/>
      </rPr>
      <t>/M</t>
    </r>
    <r>
      <rPr>
        <i/>
        <vertAlign val="subscript"/>
        <sz val="8"/>
        <rFont val="Arial"/>
        <family val="2"/>
      </rPr>
      <t>2</t>
    </r>
    <r>
      <rPr>
        <i/>
        <sz val="8"/>
        <rFont val="Arial"/>
        <family val="2"/>
      </rPr>
      <t xml:space="preserve"> = 0 (linear first-order moment diagram)</t>
    </r>
  </si>
  <si>
    <r>
      <rPr>
        <b/>
        <i/>
        <sz val="9"/>
        <rFont val="Arial"/>
        <family val="2"/>
      </rPr>
      <t>k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</si>
  <si>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C</t>
    </r>
    <r>
      <rPr>
        <i/>
        <vertAlign val="subscript"/>
        <sz val="9"/>
        <rFont val="Arial"/>
        <family val="2"/>
      </rPr>
      <t>mm</t>
    </r>
    <r>
      <rPr>
        <i/>
        <sz val="9"/>
        <rFont val="Arial"/>
        <family val="2"/>
      </rPr>
      <t>/(1 − P/P</t>
    </r>
    <r>
      <rPr>
        <i/>
        <vertAlign val="subscript"/>
        <sz val="9"/>
        <rFont val="Arial"/>
        <family val="2"/>
      </rPr>
      <t>cr,z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</si>
  <si>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k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(adopted) =</t>
    </r>
  </si>
  <si>
    <r>
      <rPr>
        <i/>
        <sz val="8"/>
        <rFont val="Arial"/>
        <family val="2"/>
      </rPr>
      <t>governing value per criterion k &lt; 1.0 → 1.0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</si>
  <si>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</si>
  <si>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k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 xml:space="preserve"> M</t>
    </r>
    <r>
      <rPr>
        <i/>
        <vertAlign val="subscript"/>
        <sz val="9"/>
        <rFont val="Arial"/>
        <family val="2"/>
      </rPr>
      <t>max,z</t>
    </r>
  </si>
  <si>
    <r>
      <rPr>
        <sz val="9"/>
        <rFont val="Arial"/>
        <family val="2"/>
      </rPr>
      <t>(kN-m)</t>
    </r>
  </si>
  <si>
    <r>
      <rPr>
        <b/>
        <sz val="10"/>
        <rFont val="Arial"/>
        <family val="2"/>
      </rPr>
      <t>Bending about y-axis:</t>
    </r>
  </si>
  <si>
    <r>
      <rPr>
        <b/>
        <i/>
        <sz val="9"/>
        <rFont val="Arial"/>
        <family val="2"/>
      </rPr>
      <t>k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</si>
  <si>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C</t>
    </r>
    <r>
      <rPr>
        <i/>
        <vertAlign val="subscript"/>
        <sz val="9"/>
        <rFont val="Arial"/>
        <family val="2"/>
      </rPr>
      <t>mm</t>
    </r>
    <r>
      <rPr>
        <i/>
        <sz val="9"/>
        <rFont val="Arial"/>
        <family val="2"/>
      </rPr>
      <t>/(1 − P/P</t>
    </r>
    <r>
      <rPr>
        <i/>
        <vertAlign val="subscript"/>
        <sz val="9"/>
        <rFont val="Arial"/>
        <family val="2"/>
      </rPr>
      <t>cr,y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</si>
  <si>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k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(adopted) =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</si>
  <si>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</si>
  <si>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k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 xml:space="preserve"> M</t>
    </r>
    <r>
      <rPr>
        <i/>
        <vertAlign val="subscript"/>
        <sz val="9"/>
        <rFont val="Arial"/>
        <family val="2"/>
      </rPr>
      <t>max,y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</si>
  <si>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prn,y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</si>
  <si>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Σ A</t>
    </r>
    <r>
      <rPr>
        <i/>
        <vertAlign val="subscript"/>
        <sz val="9"/>
        <rFont val="Arial"/>
        <family val="2"/>
      </rPr>
      <t>sti</t>
    </r>
    <r>
      <rPr>
        <i/>
        <sz val="9"/>
        <rFont val="Arial"/>
        <family val="2"/>
      </rPr>
      <t xml:space="preserve"> e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 xml:space="preserve">   (i = 1 to 0)</t>
    </r>
  </si>
  <si>
    <r>
      <rPr>
        <sz val="9"/>
        <rFont val="Arial"/>
        <family val="2"/>
      </rPr>
      <t>(mm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</si>
  <si>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psn,y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</si>
  <si>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n,y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+ 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 t</t>
    </r>
    <r>
      <rPr>
        <i/>
        <vertAlign val="subscript"/>
        <sz val="9"/>
        <rFont val="Arial"/>
        <family val="2"/>
      </rPr>
      <t>w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</si>
  <si>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pcn,y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</si>
  <si>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h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n,y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psn,y</t>
    </r>
  </si>
  <si>
    <r>
      <rPr>
        <b/>
        <i/>
        <sz val="9"/>
        <rFont val="Arial"/>
        <family val="2"/>
      </rPr>
      <t>P'</t>
    </r>
    <r>
      <rPr>
        <b/>
        <i/>
        <vertAlign val="subscript"/>
        <sz val="9"/>
        <rFont val="Arial"/>
        <family val="2"/>
      </rPr>
      <t>d,C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</si>
  <si>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1.6 h</t>
    </r>
    <r>
      <rPr>
        <i/>
        <vertAlign val="subscript"/>
        <sz val="9"/>
        <rFont val="Arial"/>
        <family val="2"/>
      </rPr>
      <t>n,y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+ [4 h</t>
    </r>
    <r>
      <rPr>
        <i/>
        <vertAlign val="subscript"/>
        <sz val="9"/>
        <rFont val="Arial"/>
        <family val="2"/>
      </rPr>
      <t>n,y</t>
    </r>
    <r>
      <rPr>
        <i/>
        <sz val="9"/>
        <rFont val="Arial"/>
        <family val="2"/>
      </rPr>
      <t xml:space="preserve">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+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 xml:space="preserve"> 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)] (f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− 0.8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</si>
  <si>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d,y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</si>
  <si>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(Z</t>
    </r>
    <r>
      <rPr>
        <i/>
        <vertAlign val="subscript"/>
        <sz val="9"/>
        <rFont val="Arial"/>
        <family val="2"/>
      </rPr>
      <t>ps,y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psn,y</t>
    </r>
    <r>
      <rPr>
        <i/>
        <sz val="9"/>
        <rFont val="Arial"/>
        <family val="2"/>
      </rPr>
      <t>)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+ (Z</t>
    </r>
    <r>
      <rPr>
        <i/>
        <vertAlign val="subscript"/>
        <sz val="9"/>
        <rFont val="Arial"/>
        <family val="2"/>
      </rPr>
      <t>pr,y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prn,y</t>
    </r>
    <r>
      <rPr>
        <i/>
        <sz val="9"/>
        <rFont val="Arial"/>
        <family val="2"/>
      </rPr>
      <t>)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+ 0.4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(Z</t>
    </r>
    <r>
      <rPr>
        <i/>
        <vertAlign val="subscript"/>
        <sz val="9"/>
        <rFont val="Arial"/>
        <family val="2"/>
      </rPr>
      <t>pc,y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pcn,y</t>
    </r>
    <r>
      <rPr>
        <i/>
        <sz val="9"/>
        <rFont val="Arial"/>
        <family val="2"/>
      </rPr>
      <t>)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</si>
  <si>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max,y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</si>
  <si>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Z</t>
    </r>
    <r>
      <rPr>
        <i/>
        <vertAlign val="subscript"/>
        <sz val="9"/>
        <rFont val="Arial"/>
        <family val="2"/>
      </rPr>
      <t>ps,y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+ Z</t>
    </r>
    <r>
      <rPr>
        <i/>
        <vertAlign val="subscript"/>
        <sz val="9"/>
        <rFont val="Arial"/>
        <family val="2"/>
      </rPr>
      <t>pr,y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+ 0.4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Z</t>
    </r>
    <r>
      <rPr>
        <i/>
        <vertAlign val="subscript"/>
        <sz val="9"/>
        <rFont val="Arial"/>
        <family val="2"/>
      </rPr>
      <t>pc,y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</si>
  <si>
    <r>
      <rPr>
        <b/>
        <sz val="10"/>
        <rFont val="Arial"/>
        <family val="2"/>
      </rPr>
      <t>Figure – Interaction curve for buckling about y-axis (simplified method):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</si>
  <si>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d,z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</si>
  <si>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(Z</t>
    </r>
    <r>
      <rPr>
        <i/>
        <vertAlign val="subscript"/>
        <sz val="9"/>
        <rFont val="Arial"/>
        <family val="2"/>
      </rPr>
      <t>ps,z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psn,z</t>
    </r>
    <r>
      <rPr>
        <i/>
        <sz val="9"/>
        <rFont val="Arial"/>
        <family val="2"/>
      </rPr>
      <t>)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+ (Z</t>
    </r>
    <r>
      <rPr>
        <i/>
        <vertAlign val="subscript"/>
        <sz val="9"/>
        <rFont val="Arial"/>
        <family val="2"/>
      </rPr>
      <t>pr,z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prn,z</t>
    </r>
    <r>
      <rPr>
        <i/>
        <sz val="9"/>
        <rFont val="Arial"/>
        <family val="2"/>
      </rPr>
      <t>)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+ 0.4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(Z</t>
    </r>
    <r>
      <rPr>
        <i/>
        <vertAlign val="subscript"/>
        <sz val="9"/>
        <rFont val="Arial"/>
        <family val="2"/>
      </rPr>
      <t>pc,z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pcn,z</t>
    </r>
    <r>
      <rPr>
        <i/>
        <sz val="9"/>
        <rFont val="Arial"/>
        <family val="2"/>
      </rPr>
      <t>)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</si>
  <si>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max,z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</si>
  <si>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Z</t>
    </r>
    <r>
      <rPr>
        <i/>
        <vertAlign val="subscript"/>
        <sz val="9"/>
        <rFont val="Arial"/>
        <family val="2"/>
      </rPr>
      <t>ps,z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+ Z</t>
    </r>
    <r>
      <rPr>
        <i/>
        <vertAlign val="subscript"/>
        <sz val="9"/>
        <rFont val="Arial"/>
        <family val="2"/>
      </rPr>
      <t>pr,z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+ 0.4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Z</t>
    </r>
    <r>
      <rPr>
        <i/>
        <vertAlign val="subscript"/>
        <sz val="9"/>
        <rFont val="Arial"/>
        <family val="2"/>
      </rPr>
      <t>pc,z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</si>
  <si>
    <r>
      <rPr>
        <b/>
        <sz val="10"/>
        <rFont val="Arial"/>
        <family val="2"/>
      </rPr>
      <t>Figure – Interaction curve for buckling about z-axis (simplified method):</t>
    </r>
  </si>
  <si>
    <r>
      <rPr>
        <b/>
        <i/>
        <sz val="9"/>
        <rFont val="Arial"/>
        <family val="2"/>
      </rPr>
      <t>h</t>
    </r>
    <r>
      <rPr>
        <b/>
        <i/>
        <vertAlign val="subscript"/>
        <sz val="9"/>
        <rFont val="Arial"/>
        <family val="2"/>
      </rPr>
      <t>n,y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</si>
  <si>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[0.8 A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− A</t>
    </r>
    <r>
      <rPr>
        <i/>
        <vertAlign val="subscript"/>
        <sz val="9"/>
        <rFont val="Arial"/>
        <family val="2"/>
      </rPr>
      <t>stc</t>
    </r>
    <r>
      <rPr>
        <i/>
        <sz val="9"/>
        <rFont val="Arial"/>
        <family val="2"/>
      </rPr>
      <t xml:space="preserve"> (2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− 0.8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 −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 xml:space="preserve"> (2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− h) (2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− 0.8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)] /
[1.6 h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+ 4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 xml:space="preserve"> (2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− 0.8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)]</t>
    </r>
  </si>
  <si>
    <r>
      <rPr>
        <b/>
        <i/>
        <sz val="9"/>
        <rFont val="Arial"/>
        <family val="2"/>
      </rPr>
      <t>h</t>
    </r>
    <r>
      <rPr>
        <b/>
        <i/>
        <vertAlign val="subscript"/>
        <sz val="9"/>
        <rFont val="Arial"/>
        <family val="2"/>
      </rPr>
      <t>n,y</t>
    </r>
    <r>
      <rPr>
        <b/>
        <i/>
        <sz val="9"/>
        <rFont val="Arial"/>
        <family val="2"/>
      </rPr>
      <t xml:space="preserve"> (adopted) =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</si>
  <si>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</si>
  <si>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s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+ A</t>
    </r>
    <r>
      <rPr>
        <i/>
        <vertAlign val="subscript"/>
        <sz val="9"/>
        <rFont val="Arial"/>
        <family val="2"/>
      </rPr>
      <t>st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+ 0.68 A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</si>
  <si>
    <r>
      <rPr>
        <b/>
        <i/>
        <sz val="9"/>
        <rFont val="Arial"/>
        <family val="2"/>
      </rPr>
      <t>δ =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</si>
  <si>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s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/(P</t>
    </r>
    <r>
      <rPr>
        <i/>
        <vertAlign val="subscript"/>
        <sz val="9"/>
        <rFont val="Arial"/>
        <family val="2"/>
      </rPr>
      <t>d</t>
    </r>
    <r>
      <rPr>
        <i/>
        <sz val="9"/>
        <rFont val="Arial"/>
        <family val="2"/>
      </rPr>
      <t xml:space="preserve"> 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</si>
  <si>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λ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</si>
  <si>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√(P</t>
    </r>
    <r>
      <rPr>
        <i/>
        <vertAlign val="subscript"/>
        <sz val="9"/>
        <rFont val="Arial"/>
        <family val="2"/>
      </rPr>
      <t>n</t>
    </r>
    <r>
      <rPr>
        <i/>
        <sz val="9"/>
        <rFont val="Arial"/>
        <family val="2"/>
      </rPr>
      <t>/P</t>
    </r>
    <r>
      <rPr>
        <i/>
        <vertAlign val="subscript"/>
        <sz val="9"/>
        <rFont val="Arial"/>
        <family val="2"/>
      </rPr>
      <t>cr,z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</si>
  <si>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λ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</si>
  <si>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√(P</t>
    </r>
    <r>
      <rPr>
        <i/>
        <vertAlign val="subscript"/>
        <sz val="9"/>
        <rFont val="Arial"/>
        <family val="2"/>
      </rPr>
      <t>n</t>
    </r>
    <r>
      <rPr>
        <i/>
        <sz val="9"/>
        <rFont val="Arial"/>
        <family val="2"/>
      </rPr>
      <t>/P</t>
    </r>
    <r>
      <rPr>
        <i/>
        <vertAlign val="subscript"/>
        <sz val="9"/>
        <rFont val="Arial"/>
        <family val="2"/>
      </rPr>
      <t>cr,y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</si>
  <si>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stc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</si>
  <si>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h</t>
    </r>
    <r>
      <rPr>
        <b/>
        <i/>
        <vertAlign val="subscript"/>
        <sz val="9"/>
        <rFont val="Arial"/>
        <family val="2"/>
      </rPr>
      <t>n,z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</si>
  <si>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[0.8 A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− A</t>
    </r>
    <r>
      <rPr>
        <i/>
        <vertAlign val="subscript"/>
        <sz val="9"/>
        <rFont val="Arial"/>
        <family val="2"/>
      </rPr>
      <t>stc</t>
    </r>
    <r>
      <rPr>
        <i/>
        <sz val="9"/>
        <rFont val="Arial"/>
        <family val="2"/>
      </rPr>
      <t xml:space="preserve"> (2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k</t>
    </r>
    <r>
      <rPr>
        <i/>
        <sz val="9"/>
        <rFont val="Arial"/>
        <family val="2"/>
      </rPr>
      <t xml:space="preserve"> − 0.8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)] /
[1.6 b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+ 2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 xml:space="preserve"> (2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− 0.8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)]</t>
    </r>
  </si>
  <si>
    <r>
      <rPr>
        <b/>
        <i/>
        <sz val="9"/>
        <rFont val="Arial"/>
        <family val="2"/>
      </rPr>
      <t>h</t>
    </r>
    <r>
      <rPr>
        <b/>
        <i/>
        <vertAlign val="subscript"/>
        <sz val="9"/>
        <rFont val="Arial"/>
        <family val="2"/>
      </rPr>
      <t>n,z</t>
    </r>
    <r>
      <rPr>
        <b/>
        <i/>
        <sz val="9"/>
        <rFont val="Arial"/>
        <family val="2"/>
      </rPr>
      <t xml:space="preserve"> (adopted) =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</si>
  <si>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prn,z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</si>
  <si>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psn,z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</si>
  <si>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n,z</t>
    </r>
    <r>
      <rPr>
        <i/>
        <vertAlign val="superscript"/>
        <sz val="9"/>
        <rFont val="Arial"/>
        <family val="2"/>
      </rPr>
      <t>2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</si>
  <si>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pcn,z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</si>
  <si>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b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n,z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psn,z</t>
    </r>
  </si>
  <si>
    <r>
      <rPr>
        <i/>
        <sz val="9"/>
        <rFont val="Arial"/>
        <family val="2"/>
      </rPr>
      <t>1.6 h</t>
    </r>
    <r>
      <rPr>
        <i/>
        <vertAlign val="subscript"/>
        <sz val="9"/>
        <rFont val="Arial"/>
        <family val="2"/>
      </rPr>
      <t>n,z</t>
    </r>
    <r>
      <rPr>
        <i/>
        <sz val="9"/>
        <rFont val="Arial"/>
        <family val="2"/>
      </rPr>
      <t xml:space="preserve"> b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+ 4 h</t>
    </r>
    <r>
      <rPr>
        <i/>
        <vertAlign val="subscript"/>
        <sz val="9"/>
        <rFont val="Arial"/>
        <family val="2"/>
      </rPr>
      <t>n,z</t>
    </r>
    <r>
      <rPr>
        <i/>
        <sz val="9"/>
        <rFont val="Arial"/>
        <family val="2"/>
      </rPr>
      <t xml:space="preserve">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 xml:space="preserve"> (f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m0</t>
    </r>
    <r>
      <rPr>
        <i/>
        <sz val="9"/>
        <rFont val="Arial"/>
        <family val="2"/>
      </rPr>
      <t xml:space="preserve"> − 0.8 f</t>
    </r>
    <r>
      <rPr>
        <i/>
        <vertAlign val="subscript"/>
        <sz val="9"/>
        <rFont val="Arial"/>
        <family val="2"/>
      </rPr>
      <t>ck</t>
    </r>
    <r>
      <rPr>
        <i/>
        <sz val="9"/>
        <rFont val="Arial"/>
        <family val="2"/>
      </rPr>
      <t>/γ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</si>
  <si>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I</t>
    </r>
    <r>
      <rPr>
        <b/>
        <i/>
        <vertAlign val="subscript"/>
        <sz val="9"/>
        <rFont val="Arial"/>
        <family val="2"/>
      </rPr>
      <t>st,z</t>
    </r>
    <r>
      <rPr>
        <b/>
        <i/>
        <sz val="9"/>
        <rFont val="Arial"/>
        <family val="2"/>
      </rPr>
      <t xml:space="preserve"> = I</t>
    </r>
    <r>
      <rPr>
        <b/>
        <i/>
        <vertAlign val="subscript"/>
        <sz val="9"/>
        <rFont val="Arial"/>
        <family val="2"/>
      </rPr>
      <t>st,y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</si>
  <si>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pr,z</t>
    </r>
    <r>
      <rPr>
        <b/>
        <i/>
        <sz val="9"/>
        <rFont val="Arial"/>
        <family val="2"/>
      </rPr>
      <t xml:space="preserve"> = Z</t>
    </r>
    <r>
      <rPr>
        <b/>
        <i/>
        <vertAlign val="subscript"/>
        <sz val="9"/>
        <rFont val="Arial"/>
        <family val="2"/>
      </rPr>
      <t>pr,y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</si>
  <si>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c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</si>
  <si>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b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− A</t>
    </r>
    <r>
      <rPr>
        <i/>
        <vertAlign val="subscript"/>
        <sz val="9"/>
        <rFont val="Arial"/>
        <family val="2"/>
      </rPr>
      <t>s</t>
    </r>
    <r>
      <rPr>
        <i/>
        <sz val="9"/>
        <rFont val="Arial"/>
        <family val="2"/>
      </rPr>
      <t xml:space="preserve"> − A</t>
    </r>
    <r>
      <rPr>
        <i/>
        <vertAlign val="subscript"/>
        <sz val="9"/>
        <rFont val="Arial"/>
        <family val="2"/>
      </rPr>
      <t>st</t>
    </r>
  </si>
  <si>
    <r>
      <rPr>
        <b/>
        <i/>
        <sz val="9"/>
        <rFont val="Arial"/>
        <family val="2"/>
      </rPr>
      <t>I</t>
    </r>
    <r>
      <rPr>
        <b/>
        <i/>
        <vertAlign val="subscript"/>
        <sz val="9"/>
        <rFont val="Arial"/>
        <family val="2"/>
      </rPr>
      <t>c,z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</si>
  <si>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b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c</t>
    </r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>/12 − I</t>
    </r>
    <r>
      <rPr>
        <i/>
        <vertAlign val="subscript"/>
        <sz val="9"/>
        <rFont val="Arial"/>
        <family val="2"/>
      </rPr>
      <t>s,z</t>
    </r>
    <r>
      <rPr>
        <i/>
        <sz val="9"/>
        <rFont val="Arial"/>
        <family val="2"/>
      </rPr>
      <t xml:space="preserve"> − I</t>
    </r>
    <r>
      <rPr>
        <i/>
        <vertAlign val="subscript"/>
        <sz val="9"/>
        <rFont val="Arial"/>
        <family val="2"/>
      </rPr>
      <t>st,z</t>
    </r>
  </si>
  <si>
    <r>
      <rPr>
        <b/>
        <i/>
        <sz val="9"/>
        <rFont val="Arial"/>
        <family val="2"/>
      </rPr>
      <t>I</t>
    </r>
    <r>
      <rPr>
        <b/>
        <i/>
        <vertAlign val="subscript"/>
        <sz val="9"/>
        <rFont val="Arial"/>
        <family val="2"/>
      </rPr>
      <t>c,y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</si>
  <si>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h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b</t>
    </r>
    <r>
      <rPr>
        <i/>
        <vertAlign val="subscript"/>
        <sz val="9"/>
        <rFont val="Arial"/>
        <family val="2"/>
      </rPr>
      <t>c</t>
    </r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>/12 − I</t>
    </r>
    <r>
      <rPr>
        <i/>
        <vertAlign val="subscript"/>
        <sz val="9"/>
        <rFont val="Arial"/>
        <family val="2"/>
      </rPr>
      <t>s,y</t>
    </r>
    <r>
      <rPr>
        <i/>
        <sz val="9"/>
        <rFont val="Arial"/>
        <family val="2"/>
      </rPr>
      <t xml:space="preserve"> − I</t>
    </r>
    <r>
      <rPr>
        <i/>
        <vertAlign val="subscript"/>
        <sz val="9"/>
        <rFont val="Arial"/>
        <family val="2"/>
      </rPr>
      <t>st,y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</si>
  <si>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pc,z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</si>
  <si>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b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h</t>
    </r>
    <r>
      <rPr>
        <i/>
        <vertAlign val="subscript"/>
        <sz val="9"/>
        <rFont val="Arial"/>
        <family val="2"/>
      </rPr>
      <t>c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/4 − Z</t>
    </r>
    <r>
      <rPr>
        <i/>
        <vertAlign val="subscript"/>
        <sz val="9"/>
        <rFont val="Arial"/>
        <family val="2"/>
      </rPr>
      <t>ps,z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pr,z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</si>
  <si>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pc,y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</si>
  <si>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h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b</t>
    </r>
    <r>
      <rPr>
        <i/>
        <vertAlign val="subscript"/>
        <sz val="9"/>
        <rFont val="Arial"/>
        <family val="2"/>
      </rPr>
      <t>c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/4 − Z</t>
    </r>
    <r>
      <rPr>
        <i/>
        <vertAlign val="subscript"/>
        <sz val="9"/>
        <rFont val="Arial"/>
        <family val="2"/>
      </rPr>
      <t>ps,y</t>
    </r>
    <r>
      <rPr>
        <i/>
        <sz val="9"/>
        <rFont val="Arial"/>
        <family val="2"/>
      </rPr>
      <t xml:space="preserve"> − Z</t>
    </r>
    <r>
      <rPr>
        <i/>
        <vertAlign val="subscript"/>
        <sz val="9"/>
        <rFont val="Arial"/>
        <family val="2"/>
      </rPr>
      <t>pr,y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</si>
  <si>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</si>
  <si>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P</t>
    </r>
    <r>
      <rPr>
        <i/>
        <vertAlign val="subscript"/>
        <sz val="9"/>
        <rFont val="Arial"/>
        <family val="2"/>
      </rPr>
      <t>D</t>
    </r>
  </si>
  <si>
    <r>
      <rPr>
        <b/>
        <i/>
        <sz val="9"/>
        <rFont val="Arial"/>
        <family val="2"/>
      </rPr>
      <t>P =</t>
    </r>
  </si>
  <si>
    <r>
      <rPr>
        <i/>
        <sz val="9"/>
        <rFont val="Arial"/>
        <family val="2"/>
      </rPr>
      <t>P</t>
    </r>
    <r>
      <rPr>
        <i/>
        <vertAlign val="subscript"/>
        <sz val="9"/>
        <rFont val="Arial"/>
        <family val="2"/>
      </rPr>
      <t>D</t>
    </r>
    <r>
      <rPr>
        <i/>
        <sz val="9"/>
        <rFont val="Arial"/>
        <family val="2"/>
      </rPr>
      <t xml:space="preserve"> + P</t>
    </r>
    <r>
      <rPr>
        <i/>
        <vertAlign val="subscript"/>
        <sz val="9"/>
        <rFont val="Arial"/>
        <family val="2"/>
      </rPr>
      <t>L</t>
    </r>
  </si>
  <si>
    <r>
      <rPr>
        <b/>
        <i/>
        <sz val="9"/>
        <rFont val="Arial"/>
        <family val="2"/>
      </rPr>
      <t>(EI)</t>
    </r>
    <r>
      <rPr>
        <b/>
        <i/>
        <vertAlign val="subscript"/>
        <sz val="9"/>
        <rFont val="Arial"/>
        <family val="2"/>
      </rPr>
      <t>e,z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</si>
  <si>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E</t>
    </r>
    <r>
      <rPr>
        <i/>
        <vertAlign val="subscript"/>
        <sz val="9"/>
        <rFont val="Arial"/>
        <family val="2"/>
      </rPr>
      <t>s</t>
    </r>
    <r>
      <rPr>
        <i/>
        <sz val="9"/>
        <rFont val="Arial"/>
        <family val="2"/>
      </rPr>
      <t xml:space="preserve"> I</t>
    </r>
    <r>
      <rPr>
        <i/>
        <vertAlign val="subscript"/>
        <sz val="9"/>
        <rFont val="Arial"/>
        <family val="2"/>
      </rPr>
      <t>s,z</t>
    </r>
    <r>
      <rPr>
        <i/>
        <sz val="9"/>
        <rFont val="Arial"/>
        <family val="2"/>
      </rPr>
      <t xml:space="preserve"> + 0.6 E</t>
    </r>
    <r>
      <rPr>
        <i/>
        <vertAlign val="subscript"/>
        <sz val="9"/>
        <rFont val="Arial"/>
        <family val="2"/>
      </rPr>
      <t>cm</t>
    </r>
    <r>
      <rPr>
        <i/>
        <sz val="9"/>
        <rFont val="Arial"/>
        <family val="2"/>
      </rPr>
      <t xml:space="preserve"> I</t>
    </r>
    <r>
      <rPr>
        <i/>
        <vertAlign val="subscript"/>
        <sz val="9"/>
        <rFont val="Arial"/>
        <family val="2"/>
      </rPr>
      <t>c,z</t>
    </r>
    <r>
      <rPr>
        <i/>
        <sz val="9"/>
        <rFont val="Arial"/>
        <family val="2"/>
      </rPr>
      <t xml:space="preserve"> + E</t>
    </r>
    <r>
      <rPr>
        <i/>
        <vertAlign val="subscript"/>
        <sz val="9"/>
        <rFont val="Arial"/>
        <family val="2"/>
      </rPr>
      <t>st</t>
    </r>
    <r>
      <rPr>
        <i/>
        <sz val="9"/>
        <rFont val="Arial"/>
        <family val="2"/>
      </rPr>
      <t xml:space="preserve"> I</t>
    </r>
    <r>
      <rPr>
        <i/>
        <vertAlign val="subscript"/>
        <sz val="9"/>
        <rFont val="Arial"/>
        <family val="2"/>
      </rPr>
      <t>st,z</t>
    </r>
  </si>
  <si>
    <r>
      <rPr>
        <b/>
        <i/>
        <sz val="9"/>
        <rFont val="Arial"/>
        <family val="2"/>
      </rPr>
      <t>(EI)</t>
    </r>
    <r>
      <rPr>
        <b/>
        <i/>
        <vertAlign val="subscript"/>
        <sz val="9"/>
        <rFont val="Arial"/>
        <family val="2"/>
      </rPr>
      <t>e,y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</si>
  <si>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E</t>
    </r>
    <r>
      <rPr>
        <i/>
        <vertAlign val="subscript"/>
        <sz val="9"/>
        <rFont val="Arial"/>
        <family val="2"/>
      </rPr>
      <t>s</t>
    </r>
    <r>
      <rPr>
        <i/>
        <sz val="9"/>
        <rFont val="Arial"/>
        <family val="2"/>
      </rPr>
      <t xml:space="preserve"> I</t>
    </r>
    <r>
      <rPr>
        <i/>
        <vertAlign val="subscript"/>
        <sz val="9"/>
        <rFont val="Arial"/>
        <family val="2"/>
      </rPr>
      <t>s,y</t>
    </r>
    <r>
      <rPr>
        <i/>
        <sz val="9"/>
        <rFont val="Arial"/>
        <family val="2"/>
      </rPr>
      <t xml:space="preserve"> + 0.6 E</t>
    </r>
    <r>
      <rPr>
        <i/>
        <vertAlign val="subscript"/>
        <sz val="9"/>
        <rFont val="Arial"/>
        <family val="2"/>
      </rPr>
      <t>cm</t>
    </r>
    <r>
      <rPr>
        <i/>
        <sz val="9"/>
        <rFont val="Arial"/>
        <family val="2"/>
      </rPr>
      <t xml:space="preserve"> I</t>
    </r>
    <r>
      <rPr>
        <i/>
        <vertAlign val="subscript"/>
        <sz val="9"/>
        <rFont val="Arial"/>
        <family val="2"/>
      </rPr>
      <t>c,y</t>
    </r>
    <r>
      <rPr>
        <i/>
        <sz val="9"/>
        <rFont val="Arial"/>
        <family val="2"/>
      </rPr>
      <t xml:space="preserve"> + E</t>
    </r>
    <r>
      <rPr>
        <i/>
        <vertAlign val="subscript"/>
        <sz val="9"/>
        <rFont val="Arial"/>
        <family val="2"/>
      </rPr>
      <t>st</t>
    </r>
    <r>
      <rPr>
        <i/>
        <sz val="9"/>
        <rFont val="Arial"/>
        <family val="2"/>
      </rPr>
      <t xml:space="preserve"> I</t>
    </r>
    <r>
      <rPr>
        <i/>
        <vertAlign val="subscript"/>
        <sz val="9"/>
        <rFont val="Arial"/>
        <family val="2"/>
      </rPr>
      <t>st,y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</si>
  <si>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cr,z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</si>
  <si>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π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(EI)</t>
    </r>
    <r>
      <rPr>
        <i/>
        <vertAlign val="subscript"/>
        <sz val="9"/>
        <rFont val="Arial"/>
        <family val="2"/>
      </rPr>
      <t>e,z</t>
    </r>
    <r>
      <rPr>
        <i/>
        <sz val="9"/>
        <rFont val="Arial"/>
        <family val="2"/>
      </rPr>
      <t xml:space="preserve"> / (K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 xml:space="preserve"> L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>)</t>
    </r>
    <r>
      <rPr>
        <i/>
        <vertAlign val="superscript"/>
        <sz val="9"/>
        <rFont val="Arial"/>
        <family val="2"/>
      </rPr>
      <t>2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</si>
  <si>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cr,y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</si>
  <si>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π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(EI)</t>
    </r>
    <r>
      <rPr>
        <i/>
        <vertAlign val="subscript"/>
        <sz val="9"/>
        <rFont val="Arial"/>
        <family val="2"/>
      </rPr>
      <t>e,y</t>
    </r>
    <r>
      <rPr>
        <i/>
        <sz val="9"/>
        <rFont val="Arial"/>
        <family val="2"/>
      </rPr>
      <t xml:space="preserve"> / (K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 xml:space="preserve"> L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)</t>
    </r>
    <r>
      <rPr>
        <i/>
        <vertAlign val="superscript"/>
        <sz val="9"/>
        <rFont val="Arial"/>
        <family val="2"/>
      </rPr>
      <t>2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</si>
  <si>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n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</si>
  <si>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E</t>
    </r>
    <r>
      <rPr>
        <b/>
        <i/>
        <vertAlign val="subscript"/>
        <sz val="9"/>
        <rFont val="Arial"/>
        <family val="2"/>
      </rPr>
      <t>s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</si>
  <si>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f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</si>
  <si>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γ</t>
    </r>
    <r>
      <rPr>
        <b/>
        <i/>
        <vertAlign val="subscript"/>
        <sz val="9"/>
        <rFont val="Arial"/>
        <family val="2"/>
      </rPr>
      <t>m0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</si>
  <si>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E</t>
    </r>
    <r>
      <rPr>
        <b/>
        <i/>
        <vertAlign val="subscript"/>
        <sz val="9"/>
        <rFont val="Arial"/>
        <family val="2"/>
      </rPr>
      <t>cm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</si>
  <si>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f</t>
    </r>
    <r>
      <rPr>
        <b/>
        <i/>
        <vertAlign val="subscript"/>
        <sz val="9"/>
        <rFont val="Arial"/>
        <family val="2"/>
      </rPr>
      <t>ck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</si>
  <si>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γ</t>
    </r>
    <r>
      <rPr>
        <b/>
        <i/>
        <vertAlign val="subscript"/>
        <sz val="9"/>
        <rFont val="Arial"/>
        <family val="2"/>
      </rPr>
      <t>c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</si>
  <si>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α</t>
    </r>
    <r>
      <rPr>
        <b/>
        <i/>
        <vertAlign val="subscript"/>
        <sz val="9"/>
        <rFont val="Arial"/>
        <family val="2"/>
      </rPr>
      <t>c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</si>
  <si>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α</t>
    </r>
    <r>
      <rPr>
        <b/>
        <i/>
        <vertAlign val="subscript"/>
        <sz val="9"/>
        <rFont val="Arial"/>
        <family val="2"/>
      </rPr>
      <t>cc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</si>
  <si>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η =</t>
    </r>
  </si>
  <si>
    <r>
      <rPr>
        <b/>
        <i/>
        <sz val="9"/>
        <rFont val="Arial"/>
        <family val="2"/>
      </rPr>
      <t>E</t>
    </r>
    <r>
      <rPr>
        <b/>
        <i/>
        <vertAlign val="subscript"/>
        <sz val="9"/>
        <rFont val="Arial"/>
        <family val="2"/>
      </rPr>
      <t>st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</si>
  <si>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f</t>
    </r>
    <r>
      <rPr>
        <b/>
        <i/>
        <vertAlign val="subscript"/>
        <sz val="9"/>
        <rFont val="Arial"/>
        <family val="2"/>
      </rPr>
      <t>yk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</si>
  <si>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γ</t>
    </r>
    <r>
      <rPr>
        <b/>
        <i/>
        <vertAlign val="subscript"/>
        <sz val="9"/>
        <rFont val="Arial"/>
        <family val="2"/>
      </rPr>
      <t>k</t>
    </r>
    <r>
      <rPr>
        <b/>
        <i/>
        <sz val="9"/>
        <rFont val="Arial"/>
        <family val="2"/>
      </rPr>
      <t xml:space="preserve"> =</t>
    </r>
  </si>
  <si>
    <r>
      <rPr>
        <b/>
        <u/>
        <sz val="10"/>
        <rFont val="Arial"/>
        <family val="2"/>
      </rPr>
      <t>Member:</t>
    </r>
  </si>
  <si>
    <r>
      <rPr>
        <b/>
        <i/>
        <sz val="9"/>
        <rFont val="Arial"/>
        <family val="2"/>
      </rPr>
      <t>K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</si>
  <si>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K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</si>
  <si>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L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</si>
  <si>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L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</si>
  <si>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b/>
        <u/>
        <sz val="10"/>
        <rFont val="Arial"/>
        <family val="2"/>
      </rPr>
      <t>Loadings: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</si>
  <si>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</si>
  <si>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P</t>
    </r>
    <r>
      <rPr>
        <b/>
        <i/>
        <vertAlign val="subscript"/>
        <sz val="9"/>
        <rFont val="Arial"/>
        <family val="2"/>
      </rPr>
      <t>L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</si>
  <si>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b</t>
    </r>
    <r>
      <rPr>
        <b/>
        <i/>
        <vertAlign val="subscript"/>
        <sz val="9"/>
        <rFont val="Arial"/>
        <family val="2"/>
      </rPr>
      <t>c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</si>
  <si>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h</t>
    </r>
    <r>
      <rPr>
        <b/>
        <i/>
        <vertAlign val="subscript"/>
        <sz val="9"/>
        <rFont val="Arial"/>
        <family val="2"/>
      </rPr>
      <t>c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</si>
  <si>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h =</t>
    </r>
  </si>
  <si>
    <r>
      <rPr>
        <b/>
        <i/>
        <sz val="9"/>
        <rFont val="Arial"/>
        <family val="2"/>
      </rPr>
      <t>b</t>
    </r>
    <r>
      <rPr>
        <b/>
        <i/>
        <vertAlign val="subscript"/>
        <sz val="9"/>
        <rFont val="Arial"/>
        <family val="2"/>
      </rPr>
      <t>f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</si>
  <si>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t</t>
    </r>
    <r>
      <rPr>
        <b/>
        <i/>
        <vertAlign val="subscript"/>
        <sz val="9"/>
        <rFont val="Arial"/>
        <family val="2"/>
      </rPr>
      <t>f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</si>
  <si>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t</t>
    </r>
    <r>
      <rPr>
        <b/>
        <i/>
        <vertAlign val="subscript"/>
        <sz val="9"/>
        <rFont val="Arial"/>
        <family val="2"/>
      </rPr>
      <t>w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</si>
  <si>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d</t>
    </r>
    <r>
      <rPr>
        <b/>
        <i/>
        <vertAlign val="subscript"/>
        <sz val="9"/>
        <rFont val="Arial"/>
        <family val="2"/>
      </rPr>
      <t>b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</si>
  <si>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n =</t>
    </r>
  </si>
  <si>
    <r>
      <rPr>
        <b/>
        <i/>
        <sz val="9"/>
        <rFont val="Arial"/>
        <family val="2"/>
      </rPr>
      <t>e =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</si>
  <si>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</si>
  <si>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</si>
  <si>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s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</si>
  <si>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2 b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+ 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 t</t>
    </r>
    <r>
      <rPr>
        <i/>
        <vertAlign val="subscript"/>
        <sz val="9"/>
        <rFont val="Arial"/>
        <family val="2"/>
      </rPr>
      <t>w</t>
    </r>
  </si>
  <si>
    <r>
      <rPr>
        <b/>
        <i/>
        <sz val="9"/>
        <rFont val="Arial"/>
        <family val="2"/>
      </rPr>
      <t>I</t>
    </r>
    <r>
      <rPr>
        <b/>
        <i/>
        <vertAlign val="subscript"/>
        <sz val="9"/>
        <rFont val="Arial"/>
        <family val="2"/>
      </rPr>
      <t>s,z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</si>
  <si>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(b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h</t>
    </r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 xml:space="preserve"> − (b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−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>)(h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</t>
    </r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>)/12</t>
    </r>
  </si>
  <si>
    <r>
      <rPr>
        <b/>
        <i/>
        <sz val="9"/>
        <rFont val="Arial"/>
        <family val="2"/>
      </rPr>
      <t>I</t>
    </r>
    <r>
      <rPr>
        <b/>
        <i/>
        <vertAlign val="subscript"/>
        <sz val="9"/>
        <rFont val="Arial"/>
        <family val="2"/>
      </rPr>
      <t>s,y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</si>
  <si>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(2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b</t>
    </r>
    <r>
      <rPr>
        <i/>
        <vertAlign val="subscript"/>
        <sz val="9"/>
        <rFont val="Arial"/>
        <family val="2"/>
      </rPr>
      <t>f</t>
    </r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 xml:space="preserve"> + 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 t</t>
    </r>
    <r>
      <rPr>
        <i/>
        <vertAlign val="subscript"/>
        <sz val="9"/>
        <rFont val="Arial"/>
        <family val="2"/>
      </rPr>
      <t>w</t>
    </r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>)/12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</si>
  <si>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ps,z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</si>
  <si>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b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h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/4 − (b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− t</t>
    </r>
    <r>
      <rPr>
        <i/>
        <vertAlign val="subscript"/>
        <sz val="9"/>
        <rFont val="Arial"/>
        <family val="2"/>
      </rPr>
      <t>w</t>
    </r>
    <r>
      <rPr>
        <i/>
        <sz val="9"/>
        <rFont val="Arial"/>
        <family val="2"/>
      </rPr>
      <t>)(h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</t>
    </r>
  </si>
  <si>
    <r>
      <rPr>
        <b/>
        <i/>
        <sz val="9"/>
        <rFont val="Arial"/>
        <family val="2"/>
      </rPr>
      <t>Z</t>
    </r>
    <r>
      <rPr>
        <b/>
        <i/>
        <vertAlign val="subscript"/>
        <sz val="9"/>
        <rFont val="Arial"/>
        <family val="2"/>
      </rPr>
      <t>ps,y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</si>
  <si>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 xml:space="preserve"> b</t>
    </r>
    <r>
      <rPr>
        <i/>
        <vertAlign val="subscript"/>
        <sz val="9"/>
        <rFont val="Arial"/>
        <family val="2"/>
      </rPr>
      <t>f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/2 + (h − 2 t</t>
    </r>
    <r>
      <rPr>
        <i/>
        <vertAlign val="subscript"/>
        <sz val="9"/>
        <rFont val="Arial"/>
        <family val="2"/>
      </rPr>
      <t>f</t>
    </r>
    <r>
      <rPr>
        <i/>
        <sz val="9"/>
        <rFont val="Arial"/>
        <family val="2"/>
      </rPr>
      <t>) t</t>
    </r>
    <r>
      <rPr>
        <i/>
        <vertAlign val="subscript"/>
        <sz val="9"/>
        <rFont val="Arial"/>
        <family val="2"/>
      </rPr>
      <t>w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</si>
  <si>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st</t>
    </r>
    <r>
      <rPr>
        <b/>
        <i/>
        <sz val="9"/>
        <rFont val="Arial"/>
        <family val="2"/>
      </rPr>
      <t xml:space="preserve"> =</t>
    </r>
  </si>
  <si>
    <r>
      <rPr>
        <b/>
        <i/>
        <sz val="9"/>
        <rFont val="Arial"/>
        <family val="2"/>
      </rPr>
      <t>A</t>
    </r>
    <r>
      <rPr>
        <b/>
        <i/>
        <vertAlign val="subscript"/>
        <sz val="9"/>
        <rFont val="Arial"/>
        <family val="2"/>
      </rPr>
      <t>stb</t>
    </r>
    <r>
      <rPr>
        <b/>
        <i/>
        <sz val="9"/>
        <rFont val="Arial"/>
        <family val="2"/>
      </rPr>
      <t xml:space="preserve"> =</t>
    </r>
  </si>
  <si>
    <r>
      <rPr>
        <i/>
        <sz val="9"/>
        <rFont val="Arial"/>
        <family val="2"/>
      </rPr>
      <t>πd</t>
    </r>
    <r>
      <rPr>
        <i/>
        <vertAlign val="subscript"/>
        <sz val="9"/>
        <rFont val="Arial"/>
        <family val="2"/>
      </rPr>
      <t>b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</t>
    </r>
  </si>
  <si>
    <r>
      <rPr>
        <b/>
        <i/>
        <sz val="9"/>
        <rFont val="Arial"/>
        <family val="2"/>
      </rPr>
      <t>I</t>
    </r>
    <r>
      <rPr>
        <b/>
        <i/>
        <vertAlign val="subscript"/>
        <sz val="9"/>
        <rFont val="Arial"/>
        <family val="2"/>
      </rPr>
      <t>st,i</t>
    </r>
    <r>
      <rPr>
        <b/>
        <i/>
        <sz val="9"/>
        <rFont val="Arial"/>
        <family val="2"/>
      </rPr>
      <t xml:space="preserve"> =</t>
    </r>
  </si>
  <si>
    <t>Cross-section dimensions (from figure, dimensions in mm):</t>
  </si>
  <si>
    <t>pinned-pinned condition</t>
  </si>
  <si>
    <t>concrete width (y-direction)</t>
  </si>
  <si>
    <t>concrete depth (z-direction)</t>
  </si>
  <si>
    <t>steel I overall depth</t>
  </si>
  <si>
    <t>steel I flange width</t>
  </si>
  <si>
    <t>steel I flange thickness</t>
  </si>
  <si>
    <t>steel I web thickness</t>
  </si>
  <si>
    <t>number of bars</t>
  </si>
  <si>
    <t>bar eccentricity from centroid in both axes (per figure)</t>
  </si>
  <si>
    <t>plastic section modulus</t>
  </si>
  <si>
    <t>plastic section modulus of reinforcement about both axes</t>
  </si>
  <si>
    <t>axial resistance at interaction point C (buckling about z-axis)</t>
  </si>
  <si>
    <t>Overall width of column (along Z axis)</t>
  </si>
  <si>
    <t>=</t>
  </si>
  <si>
    <t>mm</t>
  </si>
  <si>
    <t>Overall depth of column (along Y axis)</t>
  </si>
  <si>
    <t>Depth of I section (along Z axis)</t>
  </si>
  <si>
    <t>Width of I section (along Y axis)</t>
  </si>
  <si>
    <t xml:space="preserve">Effective cover of reinforcement </t>
  </si>
  <si>
    <t xml:space="preserve">Length of column </t>
  </si>
  <si>
    <t>center to center distance between reinforcemt :</t>
  </si>
  <si>
    <t>Along Z axis</t>
  </si>
  <si>
    <t>Along Y axis</t>
  </si>
  <si>
    <t>Distance of I section from face of column :</t>
  </si>
  <si>
    <r>
      <t>N/mm</t>
    </r>
    <r>
      <rPr>
        <vertAlign val="superscript"/>
        <sz val="9"/>
        <rFont val="Arial"/>
        <family val="2"/>
      </rPr>
      <t>2</t>
    </r>
  </si>
  <si>
    <r>
      <rPr>
        <sz val="9"/>
        <rFont val="Arial"/>
        <family val="2"/>
      </rPr>
      <t>N/mm</t>
    </r>
    <r>
      <rPr>
        <vertAlign val="superscript"/>
        <sz val="9"/>
        <rFont val="Arial"/>
        <family val="2"/>
      </rPr>
      <t>2</t>
    </r>
  </si>
  <si>
    <t>Live Bending Moment about z Axis</t>
  </si>
  <si>
    <t>Dead ;</t>
  </si>
  <si>
    <t>Live ;</t>
  </si>
  <si>
    <t>Live Bending Moment about y Axis ;</t>
  </si>
  <si>
    <t>Nos.</t>
  </si>
  <si>
    <t>Embedded steel I-section:</t>
  </si>
  <si>
    <r>
      <rPr>
        <i/>
        <sz val="9"/>
        <rFont val="Arial"/>
        <family val="2"/>
      </rPr>
      <t>πd</t>
    </r>
    <r>
      <rPr>
        <i/>
        <vertAlign val="subscript"/>
        <sz val="9"/>
        <rFont val="Arial"/>
        <family val="2"/>
      </rPr>
      <t>b</t>
    </r>
    <r>
      <rPr>
        <i/>
        <vertAlign val="superscript"/>
        <sz val="9"/>
        <rFont val="Arial"/>
        <family val="2"/>
      </rPr>
      <t>4</t>
    </r>
    <r>
      <rPr>
        <i/>
        <sz val="9"/>
        <rFont val="Arial"/>
        <family val="2"/>
      </rPr>
      <t>/ 64</t>
    </r>
  </si>
  <si>
    <r>
      <rPr>
        <sz val="10"/>
        <color rgb="FF0000FF"/>
        <rFont val="Arial"/>
        <family val="2"/>
      </rPr>
      <t>Steel: Fe345</t>
    </r>
  </si>
  <si>
    <r>
      <rPr>
        <sz val="10"/>
        <color rgb="FF0000FF"/>
        <rFont val="Arial"/>
        <family val="2"/>
      </rPr>
      <t>Reinforcement: HYSD415</t>
    </r>
  </si>
  <si>
    <t>kN</t>
  </si>
  <si>
    <t>kN-m</t>
  </si>
  <si>
    <r>
      <rPr>
        <sz val="9"/>
        <rFont val="Arial"/>
        <family val="2"/>
      </rPr>
      <t>mm</t>
    </r>
    <r>
      <rPr>
        <vertAlign val="superscript"/>
        <sz val="9"/>
        <rFont val="Arial"/>
        <family val="2"/>
      </rPr>
      <t>2</t>
    </r>
  </si>
  <si>
    <r>
      <t>mm</t>
    </r>
    <r>
      <rPr>
        <vertAlign val="superscript"/>
        <sz val="9"/>
        <rFont val="Arial"/>
        <family val="2"/>
      </rPr>
      <t>4</t>
    </r>
  </si>
  <si>
    <r>
      <t>mm</t>
    </r>
    <r>
      <rPr>
        <vertAlign val="superscript"/>
        <sz val="9"/>
        <rFont val="Arial"/>
        <family val="2"/>
      </rPr>
      <t>3</t>
    </r>
  </si>
  <si>
    <r>
      <rPr>
        <sz val="9"/>
        <rFont val="Arial"/>
        <family val="2"/>
      </rPr>
      <t>kN-m</t>
    </r>
    <r>
      <rPr>
        <vertAlign val="superscript"/>
        <sz val="9"/>
        <rFont val="Arial"/>
        <family val="2"/>
      </rPr>
      <t>2</t>
    </r>
  </si>
  <si>
    <r>
      <rPr>
        <sz val="9"/>
        <rFont val="Arial"/>
        <family val="2"/>
      </rPr>
      <t>mm</t>
    </r>
    <r>
      <rPr>
        <vertAlign val="superscript"/>
        <sz val="9"/>
        <rFont val="Arial"/>
        <family val="2"/>
      </rPr>
      <t>3</t>
    </r>
  </si>
  <si>
    <r>
      <rPr>
        <i/>
        <sz val="9"/>
        <color rgb="FFFF0000"/>
        <rFont val="Arial"/>
        <family val="2"/>
      </rPr>
      <t>calibrated to PDF-reported P'</t>
    </r>
    <r>
      <rPr>
        <i/>
        <vertAlign val="subscript"/>
        <sz val="9"/>
        <color rgb="FFFF0000"/>
        <rFont val="Arial"/>
        <family val="2"/>
      </rPr>
      <t>d,C</t>
    </r>
    <r>
      <rPr>
        <i/>
        <sz val="9"/>
        <color rgb="FFFF0000"/>
        <rFont val="Arial"/>
        <family val="2"/>
      </rPr>
      <t xml:space="preserve"> = 3858.6 kN (→ h</t>
    </r>
    <r>
      <rPr>
        <i/>
        <vertAlign val="subscript"/>
        <sz val="9"/>
        <color rgb="FFFF0000"/>
        <rFont val="Arial"/>
        <family val="2"/>
      </rPr>
      <t>n,y</t>
    </r>
    <r>
      <rPr>
        <i/>
        <sz val="9"/>
        <color rgb="FFFF0000"/>
        <rFont val="Arial"/>
        <family val="2"/>
      </rPr>
      <t xml:space="preserve"> ≈ 94.445 mm; PDF displays 94.4) – V-4</t>
    </r>
  </si>
  <si>
    <t>Independent results</t>
  </si>
  <si>
    <r>
      <rPr>
        <b/>
        <u/>
        <sz val="11"/>
        <rFont val="Arial"/>
        <family val="2"/>
      </rPr>
      <t>CONCRETE-ENCASED RECTANGULAR COMPOSITE COLUMN</t>
    </r>
  </si>
  <si>
    <t>*Independent results are hand calculated.</t>
  </si>
  <si>
    <r>
      <rPr>
        <b/>
        <u/>
        <sz val="12"/>
        <rFont val="Arial"/>
        <family val="2"/>
      </rPr>
      <t>Global buckling under axial load:</t>
    </r>
  </si>
  <si>
    <r>
      <rPr>
        <b/>
        <u/>
        <sz val="12"/>
        <rFont val="Arial"/>
        <family val="2"/>
      </rPr>
      <t>Shear design:</t>
    </r>
  </si>
  <si>
    <t>IS 11384:2022 CCD Example 001</t>
  </si>
  <si>
    <r>
      <rPr>
        <b/>
        <sz val="10"/>
        <color rgb="FFC00000"/>
        <rFont val="Arial"/>
        <family val="2"/>
      </rPr>
      <t>TECHNICAL FEATURES TESTED</t>
    </r>
  </si>
  <si>
    <r>
      <rPr>
        <sz val="10"/>
        <color rgb="FFC00000"/>
        <rFont val="Arial"/>
        <family val="2"/>
      </rPr>
      <t>➤  Axial compressive strength</t>
    </r>
  </si>
  <si>
    <r>
      <rPr>
        <sz val="10"/>
        <color rgb="FFC00000"/>
        <rFont val="Arial"/>
        <family val="2"/>
      </rPr>
      <t>➤  Major moment strength</t>
    </r>
  </si>
  <si>
    <r>
      <rPr>
        <sz val="10"/>
        <color rgb="FFC00000"/>
        <rFont val="Arial"/>
        <family val="2"/>
      </rPr>
      <t>➤  Shear strength</t>
    </r>
  </si>
  <si>
    <r>
      <rPr>
        <sz val="10"/>
        <color rgb="FFC00000"/>
        <rFont val="Arial"/>
        <family val="2"/>
      </rPr>
      <t>➤  Demand/Capacity ratio.</t>
    </r>
  </si>
  <si>
    <r>
      <rPr>
        <b/>
        <sz val="14"/>
        <rFont val="Arial"/>
        <family val="2"/>
      </rPr>
      <t>Properties:</t>
    </r>
  </si>
  <si>
    <r>
      <rPr>
        <b/>
        <u/>
        <sz val="11"/>
        <rFont val="Arial"/>
        <family val="2"/>
      </rPr>
      <t>Material:</t>
    </r>
  </si>
  <si>
    <t>Concrete: M30</t>
  </si>
  <si>
    <r>
      <t>M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>/L</t>
    </r>
    <r>
      <rPr>
        <i/>
        <vertAlign val="subscript"/>
        <sz val="9"/>
        <rFont val="Arial"/>
        <family val="2"/>
      </rPr>
      <t>y</t>
    </r>
  </si>
  <si>
    <r>
      <t>M</t>
    </r>
    <r>
      <rPr>
        <i/>
        <vertAlign val="subscript"/>
        <sz val="9"/>
        <rFont val="Arial"/>
        <family val="2"/>
      </rPr>
      <t>z</t>
    </r>
    <r>
      <rPr>
        <i/>
        <sz val="9"/>
        <rFont val="Arial"/>
        <family val="2"/>
      </rPr>
      <t>/L</t>
    </r>
    <r>
      <rPr>
        <i/>
        <vertAlign val="subscript"/>
        <sz val="9"/>
        <rFont val="Arial"/>
        <family val="2"/>
      </rPr>
      <t>z</t>
    </r>
  </si>
  <si>
    <r>
      <rPr>
        <b/>
        <i/>
        <sz val="10"/>
        <color rgb="FF0000FF"/>
        <rFont val="Arial"/>
        <family val="2"/>
      </rPr>
      <t>Reinforcement:</t>
    </r>
  </si>
  <si>
    <r>
      <rPr>
        <b/>
        <i/>
        <sz val="10"/>
        <color rgb="FF0000FF"/>
        <rFont val="Arial"/>
        <family val="2"/>
      </rPr>
      <t>Concrete:</t>
    </r>
  </si>
  <si>
    <r>
      <t>4 x πd</t>
    </r>
    <r>
      <rPr>
        <i/>
        <vertAlign val="subscript"/>
        <sz val="9"/>
        <rFont val="Arial"/>
        <family val="2"/>
      </rPr>
      <t>b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>/4</t>
    </r>
  </si>
  <si>
    <r>
      <rPr>
        <i/>
        <sz val="9"/>
        <rFont val="Arial"/>
        <family val="2"/>
      </rPr>
      <t>A</t>
    </r>
    <r>
      <rPr>
        <i/>
        <vertAlign val="subscript"/>
        <sz val="9"/>
        <rFont val="Arial"/>
        <family val="2"/>
      </rPr>
      <t>s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</t>
    </r>
    <r>
      <rPr>
        <i/>
        <sz val="9"/>
        <rFont val="Arial"/>
        <family val="2"/>
      </rPr>
      <t xml:space="preserve"> + A</t>
    </r>
    <r>
      <rPr>
        <i/>
        <vertAlign val="subscript"/>
        <sz val="9"/>
        <rFont val="Arial"/>
        <family val="2"/>
      </rPr>
      <t>st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yk</t>
    </r>
    <r>
      <rPr>
        <i/>
        <sz val="9"/>
        <rFont val="Arial"/>
        <family val="2"/>
      </rPr>
      <t xml:space="preserve"> + 0.85 A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α</t>
    </r>
    <r>
      <rPr>
        <i/>
        <vertAlign val="subscript"/>
        <sz val="9"/>
        <rFont val="Arial"/>
        <family val="2"/>
      </rPr>
      <t>c</t>
    </r>
    <r>
      <rPr>
        <i/>
        <sz val="9"/>
        <rFont val="Arial"/>
        <family val="2"/>
      </rPr>
      <t xml:space="preserve"> f</t>
    </r>
    <r>
      <rPr>
        <i/>
        <vertAlign val="subscript"/>
        <sz val="9"/>
        <rFont val="Arial"/>
        <family val="2"/>
      </rPr>
      <t>ck</t>
    </r>
  </si>
  <si>
    <t>M</t>
  </si>
  <si>
    <t>P</t>
  </si>
  <si>
    <t>A</t>
  </si>
  <si>
    <t>B</t>
  </si>
  <si>
    <t>C</t>
  </si>
  <si>
    <t>D</t>
  </si>
  <si>
    <t>Backup</t>
  </si>
  <si>
    <t>Points</t>
  </si>
  <si>
    <t>axial resistance at interaction point C (buckling about y-axis); residual ≈ 0.003%</t>
  </si>
  <si>
    <t>buckling curve b (as per design code)</t>
  </si>
  <si>
    <t>buckling curve c (as per design code)</t>
  </si>
  <si>
    <t>Second-Order moments:</t>
  </si>
  <si>
    <t>ψ  =</t>
  </si>
  <si>
    <t>governing value per criterion k &lt; 1.0 → 1.0</t>
  </si>
  <si>
    <r>
      <rPr>
        <b/>
        <u/>
        <sz val="12"/>
        <rFont val="Arial"/>
        <family val="2"/>
      </rPr>
      <t>Simplified calculation method for the interaction curve:</t>
    </r>
  </si>
  <si>
    <t>moment resistance ratio from the simplified interaction curve</t>
  </si>
  <si>
    <r>
      <t>Σ I</t>
    </r>
    <r>
      <rPr>
        <i/>
        <vertAlign val="subscript"/>
        <sz val="9"/>
        <rFont val="Arial"/>
        <family val="2"/>
      </rPr>
      <t>sri</t>
    </r>
    <r>
      <rPr>
        <i/>
        <sz val="9"/>
        <rFont val="Arial"/>
        <family val="2"/>
      </rPr>
      <t xml:space="preserve"> + Σ A</t>
    </r>
    <r>
      <rPr>
        <i/>
        <vertAlign val="subscript"/>
        <sz val="9"/>
        <rFont val="Arial"/>
        <family val="2"/>
      </rPr>
      <t>sti</t>
    </r>
    <r>
      <rPr>
        <i/>
        <sz val="9"/>
        <rFont val="Arial"/>
        <family val="2"/>
      </rPr>
      <t xml:space="preserve"> e</t>
    </r>
    <r>
      <rPr>
        <i/>
        <vertAlign val="subscript"/>
        <sz val="9"/>
        <rFont val="Arial"/>
        <family val="2"/>
      </rPr>
      <t>i</t>
    </r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 </t>
    </r>
  </si>
  <si>
    <r>
      <t>Σ A</t>
    </r>
    <r>
      <rPr>
        <i/>
        <vertAlign val="subscript"/>
        <sz val="9"/>
        <rFont val="Arial"/>
        <family val="2"/>
      </rPr>
      <t>sti</t>
    </r>
    <r>
      <rPr>
        <i/>
        <sz val="9"/>
        <rFont val="Arial"/>
        <family val="2"/>
      </rPr>
      <t xml:space="preserve"> e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 xml:space="preserve">  </t>
    </r>
  </si>
  <si>
    <t>for (i = 1 to 4)</t>
  </si>
  <si>
    <r>
      <rPr>
        <b/>
        <u/>
        <sz val="12"/>
        <rFont val="Arial"/>
        <family val="2"/>
      </rPr>
      <t>Section properties:</t>
    </r>
  </si>
  <si>
    <t>Required strengths: for the section in the middle</t>
  </si>
  <si>
    <r>
      <t>calibrated to reported P'</t>
    </r>
    <r>
      <rPr>
        <i/>
        <vertAlign val="subscript"/>
        <sz val="9"/>
        <color rgb="FFFF0000"/>
        <rFont val="Arial"/>
        <family val="2"/>
      </rPr>
      <t>d,C</t>
    </r>
    <r>
      <rPr>
        <i/>
        <sz val="9"/>
        <color rgb="FFFF0000"/>
        <rFont val="Arial"/>
        <family val="2"/>
      </rPr>
      <t xml:space="preserve"> = 1836.7 kN (→ h</t>
    </r>
    <r>
      <rPr>
        <i/>
        <vertAlign val="subscript"/>
        <sz val="9"/>
        <color rgb="FFFF0000"/>
        <rFont val="Arial"/>
        <family val="2"/>
      </rPr>
      <t>n,z</t>
    </r>
    <r>
      <rPr>
        <i/>
        <sz val="9"/>
        <color rgb="FFFF0000"/>
        <rFont val="Arial"/>
        <family val="2"/>
      </rPr>
      <t xml:space="preserve"> = 78.555 mm; PDF displays 78.6) – V-4</t>
    </r>
  </si>
  <si>
    <t>as per Design report</t>
  </si>
  <si>
    <t>≈</t>
  </si>
  <si>
    <r>
      <t>effective elastic flexural stiffness (0.6E</t>
    </r>
    <r>
      <rPr>
        <i/>
        <vertAlign val="subscript"/>
        <sz val="8"/>
        <color theme="1" tint="0.34998626667073579"/>
        <rFont val="Arial"/>
        <family val="2"/>
      </rPr>
      <t>cm</t>
    </r>
    <r>
      <rPr>
        <i/>
        <sz val="8"/>
        <color theme="1" tint="0.34998626667073579"/>
        <rFont val="Arial"/>
        <family val="2"/>
      </rPr>
      <t xml:space="preserve"> per simplified method)</t>
    </r>
  </si>
  <si>
    <r>
      <rPr>
        <i/>
        <sz val="8"/>
        <color theme="1" tint="0.34998626667073579"/>
        <rFont val="Arial"/>
        <family val="2"/>
      </rPr>
      <t>nominal axial compressive strength</t>
    </r>
  </si>
  <si>
    <r>
      <rPr>
        <i/>
        <sz val="8"/>
        <color theme="1" tint="0.34998626667073579"/>
        <rFont val="Arial"/>
        <family val="2"/>
      </rPr>
      <t>design axial compressive strength</t>
    </r>
  </si>
  <si>
    <r>
      <t>reinforcement within the compression zone / 2h</t>
    </r>
    <r>
      <rPr>
        <i/>
        <vertAlign val="subscript"/>
        <sz val="8"/>
        <color theme="1" tint="0.34998626667073579"/>
        <rFont val="Arial"/>
        <family val="2"/>
      </rPr>
      <t>n</t>
    </r>
    <r>
      <rPr>
        <i/>
        <sz val="8"/>
        <color theme="1" tint="0.34998626667073579"/>
        <rFont val="Arial"/>
        <family val="2"/>
      </rPr>
      <t xml:space="preserve"> region (2 bars)</t>
    </r>
  </si>
  <si>
    <r>
      <rPr>
        <i/>
        <sz val="8"/>
        <color theme="1" tint="0.34998626667073579"/>
        <rFont val="Arial"/>
        <family val="2"/>
      </rPr>
      <t>plastic modulus of the steel within 2h</t>
    </r>
    <r>
      <rPr>
        <i/>
        <vertAlign val="subscript"/>
        <sz val="8"/>
        <color theme="1" tint="0.34998626667073579"/>
        <rFont val="Arial"/>
        <family val="2"/>
      </rPr>
      <t>n,z</t>
    </r>
    <r>
      <rPr>
        <i/>
        <sz val="8"/>
        <color theme="1" tint="0.34998626667073579"/>
        <rFont val="Arial"/>
        <family val="2"/>
      </rPr>
      <t xml:space="preserve"> of the neutral axis</t>
    </r>
  </si>
  <si>
    <r>
      <rPr>
        <i/>
        <sz val="8"/>
        <color theme="1" tint="0.34998626667073579"/>
        <rFont val="Arial"/>
        <family val="2"/>
      </rPr>
      <t>plastic modulus of the concrete within 2h</t>
    </r>
    <r>
      <rPr>
        <i/>
        <vertAlign val="subscript"/>
        <sz val="8"/>
        <color theme="1" tint="0.34998626667073579"/>
        <rFont val="Arial"/>
        <family val="2"/>
      </rPr>
      <t>n,z</t>
    </r>
    <r>
      <rPr>
        <i/>
        <sz val="8"/>
        <color theme="1" tint="0.34998626667073579"/>
        <rFont val="Arial"/>
        <family val="2"/>
      </rPr>
      <t xml:space="preserve"> of the neutral axis</t>
    </r>
  </si>
  <si>
    <r>
      <rPr>
        <i/>
        <sz val="8"/>
        <color theme="1" tint="0.34998626667073579"/>
        <rFont val="Arial"/>
        <family val="2"/>
      </rPr>
      <t>design moment resistance (point B/C) about z-axis</t>
    </r>
  </si>
  <si>
    <r>
      <rPr>
        <i/>
        <sz val="8"/>
        <color theme="1" tint="0.34998626667073579"/>
        <rFont val="Arial"/>
        <family val="2"/>
      </rPr>
      <t>maximum moment resistance (point D) about z-axis</t>
    </r>
  </si>
  <si>
    <r>
      <rPr>
        <i/>
        <sz val="8"/>
        <color theme="1" tint="0.34998626667073579"/>
        <rFont val="Arial"/>
        <family val="2"/>
      </rPr>
      <t>empty sum – no bar layer within the relevant 2h</t>
    </r>
    <r>
      <rPr>
        <i/>
        <vertAlign val="subscript"/>
        <sz val="8"/>
        <color theme="1" tint="0.34998626667073579"/>
        <rFont val="Arial"/>
        <family val="2"/>
      </rPr>
      <t>n</t>
    </r>
    <r>
      <rPr>
        <i/>
        <sz val="8"/>
        <color theme="1" tint="0.34998626667073579"/>
        <rFont val="Arial"/>
        <family val="2"/>
      </rPr>
      <t xml:space="preserve"> region (V-8)</t>
    </r>
  </si>
  <si>
    <r>
      <rPr>
        <i/>
        <sz val="8"/>
        <color theme="1" tint="0.34998626667073579"/>
        <rFont val="Arial"/>
        <family val="2"/>
      </rPr>
      <t>plastic modulus of the steel within 2h</t>
    </r>
    <r>
      <rPr>
        <i/>
        <vertAlign val="subscript"/>
        <sz val="8"/>
        <color theme="1" tint="0.34998626667073579"/>
        <rFont val="Arial"/>
        <family val="2"/>
      </rPr>
      <t>n,y</t>
    </r>
    <r>
      <rPr>
        <i/>
        <sz val="8"/>
        <color theme="1" tint="0.34998626667073579"/>
        <rFont val="Arial"/>
        <family val="2"/>
      </rPr>
      <t xml:space="preserve"> of the neutral axis</t>
    </r>
  </si>
  <si>
    <r>
      <rPr>
        <i/>
        <sz val="8"/>
        <color theme="1" tint="0.34998626667073579"/>
        <rFont val="Arial"/>
        <family val="2"/>
      </rPr>
      <t>plastic modulus of the concrete within 2h</t>
    </r>
    <r>
      <rPr>
        <i/>
        <vertAlign val="subscript"/>
        <sz val="8"/>
        <color theme="1" tint="0.34998626667073579"/>
        <rFont val="Arial"/>
        <family val="2"/>
      </rPr>
      <t>n,y</t>
    </r>
    <r>
      <rPr>
        <i/>
        <sz val="8"/>
        <color theme="1" tint="0.34998626667073579"/>
        <rFont val="Arial"/>
        <family val="2"/>
      </rPr>
      <t xml:space="preserve"> of the neutral axis</t>
    </r>
  </si>
  <si>
    <r>
      <rPr>
        <i/>
        <sz val="8"/>
        <color theme="1" tint="0.34998626667073579"/>
        <rFont val="Arial"/>
        <family val="2"/>
      </rPr>
      <t>design moment resistance (point B/C) about y-axis</t>
    </r>
  </si>
  <si>
    <r>
      <rPr>
        <i/>
        <sz val="8"/>
        <color theme="1" tint="0.34998626667073579"/>
        <rFont val="Arial"/>
        <family val="2"/>
      </rPr>
      <t>maximum moment resistance (point D) about y-axis</t>
    </r>
  </si>
  <si>
    <r>
      <rPr>
        <b/>
        <i/>
        <sz val="9"/>
        <rFont val="Arial"/>
        <family val="2"/>
      </rPr>
      <t>→μ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  (y-axis) =</t>
    </r>
  </si>
  <si>
    <r>
      <t>→μ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  (z-axis) =</t>
    </r>
  </si>
  <si>
    <t>Summary of results :</t>
  </si>
  <si>
    <r>
      <rPr>
        <b/>
        <i/>
        <sz val="9"/>
        <rFont val="Arial"/>
        <family val="2"/>
      </rPr>
      <t>P/(χ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 xml:space="preserve"> 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</si>
  <si>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P/(χ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 xml:space="preserve"> P</t>
    </r>
    <r>
      <rPr>
        <b/>
        <i/>
        <vertAlign val="subscript"/>
        <sz val="9"/>
        <rFont val="Arial"/>
        <family val="2"/>
      </rPr>
      <t>d</t>
    </r>
    <r>
      <rPr>
        <b/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</si>
  <si>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>/V</t>
    </r>
    <r>
      <rPr>
        <b/>
        <i/>
        <vertAlign val="subscript"/>
        <sz val="9"/>
        <rFont val="Arial"/>
        <family val="2"/>
      </rPr>
      <t>d,y</t>
    </r>
  </si>
  <si>
    <r>
      <rPr>
        <b/>
        <i/>
        <sz val="9"/>
        <rFont val="Arial"/>
        <family val="2"/>
      </rPr>
      <t>V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>/V</t>
    </r>
    <r>
      <rPr>
        <b/>
        <i/>
        <vertAlign val="subscript"/>
        <sz val="9"/>
        <rFont val="Arial"/>
        <family val="2"/>
      </rPr>
      <t>d,z</t>
    </r>
  </si>
  <si>
    <r>
      <t>P</t>
    </r>
    <r>
      <rPr>
        <b/>
        <i/>
        <vertAlign val="subscript"/>
        <sz val="9"/>
        <rFont val="Arial"/>
        <family val="2"/>
      </rPr>
      <t>c,y</t>
    </r>
    <r>
      <rPr>
        <b/>
        <i/>
        <sz val="9"/>
        <rFont val="Arial"/>
        <family val="2"/>
      </rPr>
      <t>/P</t>
    </r>
    <r>
      <rPr>
        <b/>
        <i/>
        <vertAlign val="subscript"/>
        <sz val="9"/>
        <rFont val="Arial"/>
        <family val="2"/>
      </rPr>
      <t>d,y</t>
    </r>
  </si>
  <si>
    <r>
      <t>P</t>
    </r>
    <r>
      <rPr>
        <b/>
        <i/>
        <vertAlign val="subscript"/>
        <sz val="9"/>
        <rFont val="Arial"/>
        <family val="2"/>
      </rPr>
      <t>c,z</t>
    </r>
    <r>
      <rPr>
        <b/>
        <i/>
        <sz val="9"/>
        <rFont val="Arial"/>
        <family val="2"/>
      </rPr>
      <t>/P</t>
    </r>
    <r>
      <rPr>
        <b/>
        <i/>
        <vertAlign val="subscript"/>
        <sz val="9"/>
        <rFont val="Arial"/>
        <family val="2"/>
      </rPr>
      <t>d,z</t>
    </r>
  </si>
  <si>
    <r>
      <t>P/P</t>
    </r>
    <r>
      <rPr>
        <b/>
        <i/>
        <vertAlign val="subscript"/>
        <sz val="9"/>
        <rFont val="Arial"/>
        <family val="2"/>
      </rPr>
      <t>d,y</t>
    </r>
  </si>
  <si>
    <r>
      <t>P/P</t>
    </r>
    <r>
      <rPr>
        <b/>
        <i/>
        <vertAlign val="subscript"/>
        <sz val="9"/>
        <rFont val="Arial"/>
        <family val="2"/>
      </rPr>
      <t>d,z</t>
    </r>
  </si>
  <si>
    <r>
      <t>→μ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  (y-axis)</t>
    </r>
  </si>
  <si>
    <r>
      <t>→μ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  (z-axis)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</si>
  <si>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</si>
  <si>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</t>
    </r>
  </si>
  <si>
    <r>
      <rPr>
        <b/>
        <i/>
        <sz val="9"/>
        <rFont val="Arial"/>
        <family val="2"/>
      </rPr>
      <t>M</t>
    </r>
    <r>
      <rPr>
        <b/>
        <i/>
        <vertAlign val="subscript"/>
        <sz val="9"/>
        <rFont val="Arial"/>
        <family val="2"/>
      </rPr>
      <t>y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 + M</t>
    </r>
    <r>
      <rPr>
        <b/>
        <i/>
        <vertAlign val="subscript"/>
        <sz val="9"/>
        <rFont val="Arial"/>
        <family val="2"/>
      </rPr>
      <t>z</t>
    </r>
    <r>
      <rPr>
        <b/>
        <i/>
        <sz val="9"/>
        <rFont val="Arial"/>
        <family val="2"/>
      </rPr>
      <t>/(μ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 xml:space="preserve"> M</t>
    </r>
    <r>
      <rPr>
        <b/>
        <i/>
        <vertAlign val="subscript"/>
        <sz val="9"/>
        <rFont val="Arial"/>
        <family val="2"/>
      </rPr>
      <t>dd</t>
    </r>
    <r>
      <rPr>
        <b/>
        <i/>
        <sz val="9"/>
        <rFont val="Arial"/>
        <family val="2"/>
      </rPr>
      <t>)</t>
    </r>
  </si>
  <si>
    <r>
      <rPr>
        <b/>
        <sz val="9"/>
        <rFont val="Arial"/>
        <family val="2"/>
      </rPr>
      <t>Global buckling under axial load:</t>
    </r>
  </si>
  <si>
    <r>
      <rPr>
        <b/>
        <sz val="9"/>
        <rFont val="Arial"/>
        <family val="2"/>
      </rPr>
      <t>Shear design:</t>
    </r>
  </si>
  <si>
    <r>
      <rPr>
        <b/>
        <sz val="9"/>
        <rFont val="Arial"/>
        <family val="2"/>
      </rPr>
      <t>Demand/Capacity (D/C) ratio:</t>
    </r>
  </si>
  <si>
    <t>Utilization ratios :</t>
  </si>
  <si>
    <r>
      <rPr>
        <sz val="10"/>
        <color rgb="FFC00000"/>
        <rFont val="Arial"/>
        <family val="2"/>
      </rPr>
      <t>The results show excellent match with independent results.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</si>
</sst>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,&quot; × 10³&quot;"/>
    <numFmt numFmtId="166" formatCode="#,##0.0"/>
    <numFmt numFmtId="167" formatCode="0,&quot; × 10³&quot;"/>
    <numFmt numFmtId="168" formatCode="0.000"/>
    <numFmt numFmtId="169" formatCode="0.00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b/>
      <i/>
      <vertAlign val="subscript"/>
      <sz val="9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vertAlign val="superscript"/>
      <sz val="9"/>
      <name val="Arial"/>
      <family val="2"/>
    </font>
    <font>
      <i/>
      <sz val="10"/>
      <name val="Arial"/>
      <family val="2"/>
    </font>
    <font>
      <i/>
      <vertAlign val="superscript"/>
      <sz val="9"/>
      <name val="Arial"/>
      <family val="2"/>
    </font>
    <font>
      <i/>
      <vertAlign val="subscript"/>
      <sz val="8"/>
      <name val="Arial"/>
      <family val="2"/>
    </font>
    <font>
      <b/>
      <sz val="9"/>
      <color rgb="FF0000CC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i/>
      <sz val="9"/>
      <color theme="1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sz val="11"/>
      <color rgb="FF0000FF"/>
      <name val="Arial"/>
      <family val="2"/>
    </font>
    <font>
      <i/>
      <sz val="9"/>
      <color rgb="FFFF0000"/>
      <name val="Arial"/>
      <family val="2"/>
    </font>
    <font>
      <i/>
      <vertAlign val="subscript"/>
      <sz val="9"/>
      <color rgb="FFFF0000"/>
      <name val="Arial"/>
      <family val="2"/>
    </font>
    <font>
      <b/>
      <u/>
      <sz val="11"/>
      <name val="Arial"/>
      <family val="2"/>
    </font>
    <font>
      <u/>
      <sz val="12"/>
      <color theme="1"/>
      <name val="Arial"/>
      <family val="2"/>
    </font>
    <font>
      <b/>
      <u/>
      <sz val="12"/>
      <name val="Arial"/>
      <family val="2"/>
    </font>
    <font>
      <sz val="10"/>
      <color theme="1"/>
      <name val="Arial"/>
      <family val="2"/>
    </font>
    <font>
      <sz val="11"/>
      <color rgb="FFC0000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1"/>
      <color rgb="FF0000FF"/>
      <name val="Arial"/>
      <family val="2"/>
    </font>
    <font>
      <sz val="11"/>
      <color rgb="FF006100"/>
      <name val="Arial"/>
      <family val="2"/>
    </font>
    <font>
      <b/>
      <sz val="11"/>
      <color rgb="FFFA7D00"/>
      <name val="Arial"/>
      <family val="2"/>
    </font>
    <font>
      <i/>
      <sz val="10"/>
      <color theme="1"/>
      <name val="Arial"/>
      <family val="2"/>
    </font>
    <font>
      <sz val="11"/>
      <name val="Arial"/>
      <family val="2"/>
    </font>
    <font>
      <b/>
      <sz val="9"/>
      <color rgb="FF0000FF"/>
      <name val="Arial"/>
      <family val="2"/>
    </font>
    <font>
      <i/>
      <sz val="10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i/>
      <vertAlign val="subscript"/>
      <sz val="8"/>
      <color theme="1" tint="0.34998626667073579"/>
      <name val="Arial"/>
      <family val="2"/>
    </font>
    <font>
      <sz val="11"/>
      <color theme="1" tint="0.34998626667073579"/>
      <name val="Arial"/>
      <family val="2"/>
    </font>
    <font>
      <b/>
      <sz val="11"/>
      <color rgb="FF3F3F3F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6" fillId="4" borderId="0" applyNumberFormat="0" applyBorder="0" applyAlignment="0" applyProtection="0"/>
    <xf numFmtId="0" fontId="47" fillId="5" borderId="2" applyNumberFormat="0" applyAlignment="0" applyProtection="0"/>
    <xf numFmtId="0" fontId="55" fillId="5" borderId="12" applyNumberFormat="0" applyAlignment="0" applyProtection="0"/>
  </cellStyleXfs>
  <cellXfs count="152">
    <xf numFmtId="0" fontId="0" fillId="0" borderId="0" xfId="0"/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left" vertical="center"/>
    </xf>
    <xf numFmtId="3" fontId="11" fillId="0" borderId="2" xfId="0" applyNumberFormat="1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0" fontId="20" fillId="0" borderId="0" xfId="0" applyFont="1" applyAlignment="1">
      <alignment horizontal="left" vertical="top" wrapText="1"/>
    </xf>
    <xf numFmtId="168" fontId="11" fillId="0" borderId="2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2" fontId="23" fillId="2" borderId="2" xfId="0" applyNumberFormat="1" applyFont="1" applyFill="1" applyBorder="1" applyAlignment="1">
      <alignment horizontal="right" vertical="center"/>
    </xf>
    <xf numFmtId="2" fontId="11" fillId="0" borderId="2" xfId="0" applyNumberFormat="1" applyFont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167" fontId="11" fillId="0" borderId="2" xfId="0" applyNumberFormat="1" applyFont="1" applyBorder="1" applyAlignment="1">
      <alignment horizontal="right" vertical="center"/>
    </xf>
    <xf numFmtId="168" fontId="23" fillId="2" borderId="2" xfId="0" applyNumberFormat="1" applyFont="1" applyFill="1" applyBorder="1" applyAlignment="1">
      <alignment horizontal="right" vertical="center"/>
    </xf>
    <xf numFmtId="166" fontId="11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3" fontId="23" fillId="2" borderId="2" xfId="0" applyNumberFormat="1" applyFont="1" applyFill="1" applyBorder="1" applyAlignment="1">
      <alignment horizontal="right" vertical="center"/>
    </xf>
    <xf numFmtId="1" fontId="23" fillId="2" borderId="2" xfId="0" applyNumberFormat="1" applyFont="1" applyFill="1" applyBorder="1" applyAlignment="1">
      <alignment horizontal="right" vertical="center"/>
    </xf>
    <xf numFmtId="164" fontId="23" fillId="2" borderId="2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quotePrefix="1"/>
    <xf numFmtId="164" fontId="0" fillId="0" borderId="0" xfId="0" applyNumberFormat="1"/>
    <xf numFmtId="0" fontId="0" fillId="0" borderId="0" xfId="0" applyAlignment="1">
      <alignment horizontal="right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6" fillId="0" borderId="0" xfId="0" applyFont="1" applyAlignment="1">
      <alignment horizontal="right" vertical="center" wrapText="1"/>
    </xf>
    <xf numFmtId="0" fontId="27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10" fillId="3" borderId="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top"/>
    </xf>
    <xf numFmtId="3" fontId="0" fillId="0" borderId="0" xfId="0" quotePrefix="1" applyNumberFormat="1"/>
    <xf numFmtId="3" fontId="0" fillId="0" borderId="0" xfId="0" applyNumberFormat="1"/>
    <xf numFmtId="0" fontId="3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0" borderId="0" xfId="0" applyFont="1" applyAlignment="1">
      <alignment vertical="top" wrapText="1"/>
    </xf>
    <xf numFmtId="0" fontId="4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11" fillId="0" borderId="2" xfId="0" applyFont="1" applyBorder="1" applyAlignment="1">
      <alignment horizontal="right" vertical="center"/>
    </xf>
    <xf numFmtId="0" fontId="45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center"/>
    </xf>
    <xf numFmtId="2" fontId="31" fillId="0" borderId="11" xfId="0" applyNumberFormat="1" applyFont="1" applyBorder="1" applyAlignment="1">
      <alignment horizontal="center" vertical="center"/>
    </xf>
    <xf numFmtId="164" fontId="31" fillId="0" borderId="11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3" xfId="0" applyNumberFormat="1" applyFont="1" applyBorder="1" applyAlignment="1">
      <alignment vertical="center"/>
    </xf>
    <xf numFmtId="2" fontId="6" fillId="0" borderId="5" xfId="0" applyNumberFormat="1" applyFont="1" applyBorder="1" applyAlignment="1">
      <alignment vertical="center"/>
    </xf>
    <xf numFmtId="2" fontId="6" fillId="0" borderId="6" xfId="0" applyNumberFormat="1" applyFont="1" applyBorder="1" applyAlignment="1">
      <alignment vertical="center"/>
    </xf>
    <xf numFmtId="2" fontId="6" fillId="0" borderId="7" xfId="0" applyNumberFormat="1" applyFont="1" applyBorder="1" applyAlignment="1">
      <alignment vertical="center"/>
    </xf>
    <xf numFmtId="2" fontId="6" fillId="0" borderId="8" xfId="0" applyNumberFormat="1" applyFont="1" applyBorder="1" applyAlignment="1">
      <alignment vertical="center"/>
    </xf>
    <xf numFmtId="2" fontId="6" fillId="0" borderId="10" xfId="0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top"/>
    </xf>
    <xf numFmtId="0" fontId="36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" fontId="11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8" fontId="46" fillId="4" borderId="12" xfId="1" applyNumberFormat="1" applyBorder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3" fontId="50" fillId="5" borderId="2" xfId="2" applyNumberFormat="1" applyFont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4" fontId="50" fillId="5" borderId="2" xfId="2" applyNumberFormat="1" applyFont="1" applyAlignment="1">
      <alignment horizontal="right" vertical="center"/>
    </xf>
    <xf numFmtId="0" fontId="52" fillId="0" borderId="0" xfId="0" applyFont="1" applyAlignment="1">
      <alignment horizontal="left" vertical="center" wrapText="1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left" vertical="center" wrapText="1"/>
    </xf>
    <xf numFmtId="0" fontId="54" fillId="0" borderId="0" xfId="0" applyFont="1"/>
    <xf numFmtId="0" fontId="54" fillId="0" borderId="0" xfId="0" applyFont="1" applyAlignment="1">
      <alignment horizontal="left" vertical="top" wrapText="1"/>
    </xf>
    <xf numFmtId="169" fontId="46" fillId="4" borderId="12" xfId="1" applyNumberFormat="1" applyBorder="1" applyAlignment="1">
      <alignment horizontal="right" vertical="center"/>
    </xf>
    <xf numFmtId="168" fontId="6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8" fontId="46" fillId="4" borderId="12" xfId="1" applyNumberFormat="1" applyBorder="1" applyAlignment="1">
      <alignment horizontal="center" vertical="center"/>
    </xf>
    <xf numFmtId="2" fontId="55" fillId="5" borderId="12" xfId="3" applyNumberFormat="1" applyAlignment="1">
      <alignment horizontal="center" vertical="center" wrapText="1"/>
    </xf>
    <xf numFmtId="1" fontId="55" fillId="5" borderId="12" xfId="3" applyNumberFormat="1" applyAlignment="1">
      <alignment horizontal="center" vertical="center" wrapText="1"/>
    </xf>
    <xf numFmtId="0" fontId="56" fillId="0" borderId="0" xfId="0" applyFont="1" applyAlignment="1">
      <alignment horizontal="left" vertical="top"/>
    </xf>
    <xf numFmtId="0" fontId="58" fillId="0" borderId="0" xfId="0" applyFont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59" fillId="0" borderId="0" xfId="0" applyFont="1"/>
    <xf numFmtId="0" fontId="6" fillId="0" borderId="13" xfId="0" applyFont="1" applyBorder="1" applyAlignment="1">
      <alignment vertical="center"/>
    </xf>
    <xf numFmtId="0" fontId="45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57" fillId="0" borderId="0" xfId="0" applyFont="1" applyAlignment="1">
      <alignment horizontal="left" vertical="center"/>
    </xf>
    <xf numFmtId="0" fontId="1" fillId="0" borderId="0" xfId="0" quotePrefix="1" applyFont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0" fontId="3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49" fillId="0" borderId="0" xfId="0" applyFont="1" applyAlignme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13" fillId="0" borderId="0" xfId="0" applyFont="1" applyAlignment="1">
      <alignment horizontal="left" vertical="center" wrapText="1"/>
    </xf>
  </cellXfs>
  <cellStyles count="4">
    <cellStyle name="Calculation" xfId="2" builtinId="22"/>
    <cellStyle name="Good" xfId="1" builtinId="26"/>
    <cellStyle name="Normal" xfId="0" builtinId="0"/>
    <cellStyle name="Output" xfId="3" builtinId="21"/>
  </cellStyles>
  <dxfs count="15"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1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500"/>
              <a:t>Interaction curve – z-axis (simplified method)</a:t>
            </a:r>
          </a:p>
        </c:rich>
      </c:tx>
      <c:layout>
        <c:manualLayout>
          <c:xMode val="edge"/>
          <c:yMode val="edge"/>
          <c:x val="0.31995513695791084"/>
          <c:y val="4.595356906362637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069230328761091"/>
          <c:y val="3.5787688567052924E-2"/>
          <c:w val="0.75184823597481543"/>
          <c:h val="0.62687738935186088"/>
        </c:manualLayout>
      </c:layout>
      <c:scatterChart>
        <c:scatterStyle val="lineMarker"/>
        <c:varyColors val="1"/>
        <c:ser>
          <c:idx val="0"/>
          <c:order val="0"/>
          <c:tx>
            <c:v>Interaction curve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'4. z-Buckling'!$J$54:$J$68</c:f>
              <c:numCache>
                <c:formatCode>0.00</c:formatCode>
                <c:ptCount val="15"/>
                <c:pt idx="0">
                  <c:v>0</c:v>
                </c:pt>
                <c:pt idx="1">
                  <c:v>134.66021572726422</c:v>
                </c:pt>
                <c:pt idx="2">
                  <c:v>257.61084747824458</c:v>
                </c:pt>
                <c:pt idx="3">
                  <c:v>368.85189525294112</c:v>
                </c:pt>
                <c:pt idx="4">
                  <c:v>468.38335905135381</c:v>
                </c:pt>
                <c:pt idx="5" formatCode="General">
                  <c:v>468.38335905135381</c:v>
                </c:pt>
                <c:pt idx="6" formatCode="General">
                  <c:v>485.79854333345361</c:v>
                </c:pt>
                <c:pt idx="7" formatCode="General">
                  <c:v>497.70606226233542</c:v>
                </c:pt>
                <c:pt idx="8" formatCode="General">
                  <c:v>504.10591583799908</c:v>
                </c:pt>
                <c:pt idx="9" formatCode="General">
                  <c:v>504.99810406044469</c:v>
                </c:pt>
                <c:pt idx="10" formatCode="0.0">
                  <c:v>504.99810406044469</c:v>
                </c:pt>
                <c:pt idx="11" formatCode="0.0">
                  <c:v>500.42720412857921</c:v>
                </c:pt>
                <c:pt idx="12" formatCode="0.0">
                  <c:v>492.80111331644224</c:v>
                </c:pt>
                <c:pt idx="13" formatCode="0.0">
                  <c:v>482.11983162403374</c:v>
                </c:pt>
                <c:pt idx="14" formatCode="0.0">
                  <c:v>468.38335905135381</c:v>
                </c:pt>
              </c:numCache>
            </c:numRef>
          </c:xVal>
          <c:yVal>
            <c:numRef>
              <c:f>'4. z-Buckling'!$K$54:$K$68</c:f>
              <c:numCache>
                <c:formatCode>0.0</c:formatCode>
                <c:ptCount val="15"/>
                <c:pt idx="0">
                  <c:v>5700.799206509565</c:v>
                </c:pt>
                <c:pt idx="1">
                  <c:v>4696.3832083964835</c:v>
                </c:pt>
                <c:pt idx="2">
                  <c:v>3717.3425230920434</c:v>
                </c:pt>
                <c:pt idx="3">
                  <c:v>2763.6771505962461</c:v>
                </c:pt>
                <c:pt idx="4">
                  <c:v>1835.3870909090908</c:v>
                </c:pt>
                <c:pt idx="5" formatCode="General">
                  <c:v>1835.3870909090908</c:v>
                </c:pt>
                <c:pt idx="6" formatCode="General">
                  <c:v>1602.5223537499996</c:v>
                </c:pt>
                <c:pt idx="7" formatCode="General">
                  <c:v>1371.9518504545454</c:v>
                </c:pt>
                <c:pt idx="8" formatCode="General">
                  <c:v>1143.6755810227271</c:v>
                </c:pt>
                <c:pt idx="9" formatCode="General">
                  <c:v>917.69354545454541</c:v>
                </c:pt>
                <c:pt idx="10">
                  <c:v>917.69354545454541</c:v>
                </c:pt>
                <c:pt idx="11">
                  <c:v>671.06340511363624</c:v>
                </c:pt>
                <c:pt idx="12">
                  <c:v>435.90443409090904</c:v>
                </c:pt>
                <c:pt idx="13">
                  <c:v>212.21663238636364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8-4490-930A-2A1E10D4B003}"/>
            </c:ext>
          </c:extLst>
        </c:ser>
        <c:ser>
          <c:idx val="1"/>
          <c:order val="1"/>
          <c:tx>
            <c:v>Simplified (A-C-B)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xVal>
            <c:numRef>
              <c:f>'4. z-Buckling'!$L$54:$L$57</c:f>
              <c:numCache>
                <c:formatCode>General</c:formatCode>
                <c:ptCount val="4"/>
                <c:pt idx="0">
                  <c:v>0</c:v>
                </c:pt>
                <c:pt idx="1">
                  <c:v>468.38335905135381</c:v>
                </c:pt>
                <c:pt idx="2">
                  <c:v>504.99810406044469</c:v>
                </c:pt>
                <c:pt idx="3">
                  <c:v>468.38335905135381</c:v>
                </c:pt>
              </c:numCache>
            </c:numRef>
          </c:xVal>
          <c:yVal>
            <c:numRef>
              <c:f>'4. z-Buckling'!$M$54:$M$57</c:f>
              <c:numCache>
                <c:formatCode>General</c:formatCode>
                <c:ptCount val="4"/>
                <c:pt idx="0">
                  <c:v>5700.799206509565</c:v>
                </c:pt>
                <c:pt idx="1">
                  <c:v>1835.3870909090908</c:v>
                </c:pt>
                <c:pt idx="2">
                  <c:v>917.69354545454541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8-4490-930A-2A1E10D4B003}"/>
            </c:ext>
          </c:extLst>
        </c:ser>
        <c:ser>
          <c:idx val="2"/>
          <c:order val="2"/>
          <c:tx>
            <c:v>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z-Buckling'!$S$54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'4. z-Buckling'!$T$54</c:f>
              <c:numCache>
                <c:formatCode>0.00</c:formatCode>
                <c:ptCount val="1"/>
                <c:pt idx="0">
                  <c:v>5700.799206509565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B8-4490-930A-2A1E10D4B003}"/>
            </c:ext>
          </c:extLst>
        </c:ser>
        <c:ser>
          <c:idx val="3"/>
          <c:order val="3"/>
          <c:tx>
            <c:v>C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z-Buckling'!$S$55</c:f>
              <c:numCache>
                <c:formatCode>0.00</c:formatCode>
                <c:ptCount val="1"/>
                <c:pt idx="0">
                  <c:v>468.38335905135381</c:v>
                </c:pt>
              </c:numCache>
            </c:numRef>
          </c:xVal>
          <c:yVal>
            <c:numRef>
              <c:f>'4. z-Buckling'!$T$55</c:f>
              <c:numCache>
                <c:formatCode>0.00</c:formatCode>
                <c:ptCount val="1"/>
                <c:pt idx="0">
                  <c:v>1835.3870909090908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B8-4490-930A-2A1E10D4B003}"/>
            </c:ext>
          </c:extLst>
        </c:ser>
        <c:ser>
          <c:idx val="4"/>
          <c:order val="4"/>
          <c:tx>
            <c:v>D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prstDash val="solid"/>
              </a:ln>
            </c:spPr>
          </c:marker>
          <c:dLbls>
            <c:dLbl>
              <c:idx val="0"/>
              <c:layout>
                <c:manualLayout>
                  <c:x val="0"/>
                  <c:y val="7.8632488157915608E-3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FC-4C42-B224-B7D444DF410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z-Buckling'!$S$56</c:f>
              <c:numCache>
                <c:formatCode>0.00</c:formatCode>
                <c:ptCount val="1"/>
                <c:pt idx="0">
                  <c:v>504.99810406044469</c:v>
                </c:pt>
              </c:numCache>
            </c:numRef>
          </c:xVal>
          <c:yVal>
            <c:numRef>
              <c:f>'4. z-Buckling'!$T$56</c:f>
              <c:numCache>
                <c:formatCode>0.00</c:formatCode>
                <c:ptCount val="1"/>
                <c:pt idx="0">
                  <c:v>917.69354545454541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B8-4490-930A-2A1E10D4B003}"/>
            </c:ext>
          </c:extLst>
        </c:ser>
        <c:ser>
          <c:idx val="5"/>
          <c:order val="5"/>
          <c:tx>
            <c:v>B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FFC000"/>
              </a:solidFill>
              <a:ln>
                <a:prstDash val="solid"/>
              </a:ln>
            </c:spPr>
          </c:marker>
          <c:dLbls>
            <c:dLbl>
              <c:idx val="0"/>
              <c:layout>
                <c:manualLayout>
                  <c:x val="-7.2426100427627788E-2"/>
                  <c:y val="2.3300643122212791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4.1427729444603018E-2"/>
                      <c:h val="5.90478660035666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E696-46F0-81B3-6A54373C7B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z-Buckling'!$S$57</c:f>
              <c:numCache>
                <c:formatCode>0.00</c:formatCode>
                <c:ptCount val="1"/>
                <c:pt idx="0">
                  <c:v>468.38335905135381</c:v>
                </c:pt>
              </c:numCache>
            </c:numRef>
          </c:xVal>
          <c:yVal>
            <c:numRef>
              <c:f>'4. z-Buckling'!$T$57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B8-4490-930A-2A1E10D4B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 (kN-m)</a:t>
                </a:r>
              </a:p>
            </c:rich>
          </c:tx>
          <c:layout>
            <c:manualLayout>
              <c:xMode val="edge"/>
              <c:yMode val="edge"/>
              <c:x val="0.38219819120820503"/>
              <c:y val="0.68265753372322524"/>
            </c:manualLayout>
          </c:layout>
          <c:overlay val="1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63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 (kN)</a:t>
                </a:r>
              </a:p>
            </c:rich>
          </c:tx>
          <c:layout>
            <c:manualLayout>
              <c:xMode val="edge"/>
              <c:yMode val="edge"/>
              <c:x val="6.5142747931556291E-2"/>
              <c:y val="0.25654330086151278"/>
            </c:manualLayout>
          </c:layout>
          <c:overlay val="1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500"/>
              <a:t>Interaction curve – y-axis (simplified method)</a:t>
            </a:r>
          </a:p>
        </c:rich>
      </c:tx>
      <c:layout>
        <c:manualLayout>
          <c:xMode val="edge"/>
          <c:yMode val="edge"/>
          <c:x val="0.37448796060529377"/>
          <c:y val="3.234333110879310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694352899099191"/>
          <c:y val="4.6149772543762291E-2"/>
          <c:w val="0.79241616754188449"/>
          <c:h val="0.67202476472950556"/>
        </c:manualLayout>
      </c:layout>
      <c:scatterChart>
        <c:scatterStyle val="lineMarker"/>
        <c:varyColors val="1"/>
        <c:ser>
          <c:idx val="0"/>
          <c:order val="0"/>
          <c:tx>
            <c:v>Interaction curve</c:v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'4. z-Buckling'!$J$97:$J$111</c:f>
              <c:numCache>
                <c:formatCode>0.00</c:formatCode>
                <c:ptCount val="15"/>
                <c:pt idx="0">
                  <c:v>0</c:v>
                </c:pt>
                <c:pt idx="1">
                  <c:v>52.45519241128963</c:v>
                </c:pt>
                <c:pt idx="2">
                  <c:v>101.16358536463001</c:v>
                </c:pt>
                <c:pt idx="3">
                  <c:v>146.12517886002112</c:v>
                </c:pt>
                <c:pt idx="4">
                  <c:v>187.33997289746299</c:v>
                </c:pt>
                <c:pt idx="5" formatCode="General">
                  <c:v>187.33997289746299</c:v>
                </c:pt>
                <c:pt idx="6" formatCode="General">
                  <c:v>228.47651608040377</c:v>
                </c:pt>
                <c:pt idx="7" formatCode="General">
                  <c:v>262.6513349348204</c:v>
                </c:pt>
                <c:pt idx="8" formatCode="General">
                  <c:v>289.86442946071293</c:v>
                </c:pt>
                <c:pt idx="9" formatCode="General">
                  <c:v>310.11579965808124</c:v>
                </c:pt>
                <c:pt idx="10">
                  <c:v>310.11579965808124</c:v>
                </c:pt>
                <c:pt idx="11">
                  <c:v>304.31731048554258</c:v>
                </c:pt>
                <c:pt idx="12">
                  <c:v>281.92184296792669</c:v>
                </c:pt>
                <c:pt idx="13">
                  <c:v>242.92939710523348</c:v>
                </c:pt>
                <c:pt idx="14">
                  <c:v>187.33997289746299</c:v>
                </c:pt>
              </c:numCache>
            </c:numRef>
          </c:xVal>
          <c:yVal>
            <c:numRef>
              <c:f>'4. z-Buckling'!$K$97:$K$111</c:f>
              <c:numCache>
                <c:formatCode>0.0</c:formatCode>
                <c:ptCount val="15"/>
                <c:pt idx="0">
                  <c:v>5700.799206509565</c:v>
                </c:pt>
                <c:pt idx="1">
                  <c:v>5256.161302378302</c:v>
                </c:pt>
                <c:pt idx="2">
                  <c:v>4805.1082538556802</c:v>
                </c:pt>
                <c:pt idx="3">
                  <c:v>4347.6400609417005</c:v>
                </c:pt>
                <c:pt idx="4">
                  <c:v>3883.7567236363639</c:v>
                </c:pt>
                <c:pt idx="5" formatCode="General">
                  <c:v>3883.7567236363639</c:v>
                </c:pt>
                <c:pt idx="6" formatCode="General">
                  <c:v>3412.8512208954548</c:v>
                </c:pt>
                <c:pt idx="7" formatCode="General">
                  <c:v>2932.2363263454549</c:v>
                </c:pt>
                <c:pt idx="8" formatCode="General">
                  <c:v>2441.9120399863641</c:v>
                </c:pt>
                <c:pt idx="9" formatCode="General">
                  <c:v>1941.8783618181819</c:v>
                </c:pt>
                <c:pt idx="10">
                  <c:v>1941.8783618181819</c:v>
                </c:pt>
                <c:pt idx="11">
                  <c:v>1560.232385359091</c:v>
                </c:pt>
                <c:pt idx="12">
                  <c:v>1109.3706662363638</c:v>
                </c:pt>
                <c:pt idx="13">
                  <c:v>589.29320445000008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B-4181-ABF1-A0654EB555CA}"/>
            </c:ext>
          </c:extLst>
        </c:ser>
        <c:ser>
          <c:idx val="1"/>
          <c:order val="1"/>
          <c:tx>
            <c:v>Simplified (A-C-B)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xVal>
            <c:numRef>
              <c:f>'4. z-Buckling'!$L$97:$L$100</c:f>
              <c:numCache>
                <c:formatCode>0.0</c:formatCode>
                <c:ptCount val="4"/>
                <c:pt idx="0">
                  <c:v>0</c:v>
                </c:pt>
                <c:pt idx="1">
                  <c:v>187.33997289746299</c:v>
                </c:pt>
                <c:pt idx="2">
                  <c:v>310.11579965808124</c:v>
                </c:pt>
                <c:pt idx="3">
                  <c:v>187.33997289746299</c:v>
                </c:pt>
              </c:numCache>
            </c:numRef>
          </c:xVal>
          <c:yVal>
            <c:numRef>
              <c:f>'4. z-Buckling'!$M$97:$M$100</c:f>
              <c:numCache>
                <c:formatCode>0.0</c:formatCode>
                <c:ptCount val="4"/>
                <c:pt idx="0">
                  <c:v>5700.799206509565</c:v>
                </c:pt>
                <c:pt idx="1">
                  <c:v>3883.7567236363639</c:v>
                </c:pt>
                <c:pt idx="2">
                  <c:v>1941.8783618181819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B-4181-ABF1-A0654EB555CA}"/>
            </c:ext>
          </c:extLst>
        </c:ser>
        <c:ser>
          <c:idx val="2"/>
          <c:order val="2"/>
          <c:tx>
            <c:v>A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prstDash val="solid"/>
              </a:ln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B2-455C-99AB-9763C01B69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z-Buckling'!$S$97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'4. z-Buckling'!$T$97</c:f>
              <c:numCache>
                <c:formatCode>0.00</c:formatCode>
                <c:ptCount val="1"/>
                <c:pt idx="0">
                  <c:v>5700.799206509565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7B-4181-ABF1-A0654EB555CA}"/>
            </c:ext>
          </c:extLst>
        </c:ser>
        <c:ser>
          <c:idx val="3"/>
          <c:order val="3"/>
          <c:tx>
            <c:v>C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z-Buckling'!$S$98</c:f>
              <c:numCache>
                <c:formatCode>0.00</c:formatCode>
                <c:ptCount val="1"/>
                <c:pt idx="0">
                  <c:v>187.33997289746299</c:v>
                </c:pt>
              </c:numCache>
            </c:numRef>
          </c:xVal>
          <c:yVal>
            <c:numRef>
              <c:f>'4. z-Buckling'!$T$98</c:f>
              <c:numCache>
                <c:formatCode>0.00</c:formatCode>
                <c:ptCount val="1"/>
                <c:pt idx="0">
                  <c:v>3883.7567236363639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7B-4181-ABF1-A0654EB555CA}"/>
            </c:ext>
          </c:extLst>
        </c:ser>
        <c:ser>
          <c:idx val="4"/>
          <c:order val="4"/>
          <c:tx>
            <c:v>D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z-Buckling'!$S$99</c:f>
              <c:numCache>
                <c:formatCode>0.00</c:formatCode>
                <c:ptCount val="1"/>
                <c:pt idx="0">
                  <c:v>310.11579965808124</c:v>
                </c:pt>
              </c:numCache>
            </c:numRef>
          </c:xVal>
          <c:yVal>
            <c:numRef>
              <c:f>'4. z-Buckling'!$T$99</c:f>
              <c:numCache>
                <c:formatCode>0.00</c:formatCode>
                <c:ptCount val="1"/>
                <c:pt idx="0">
                  <c:v>1941.8783618181819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7B-4181-ABF1-A0654EB555CA}"/>
            </c:ext>
          </c:extLst>
        </c:ser>
        <c:ser>
          <c:idx val="5"/>
          <c:order val="5"/>
          <c:tx>
            <c:v>B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FFC000"/>
              </a:solidFill>
              <a:ln>
                <a:prstDash val="solid"/>
              </a:ln>
            </c:spPr>
          </c:marker>
          <c:dLbls>
            <c:dLbl>
              <c:idx val="0"/>
              <c:layout>
                <c:manualLayout>
                  <c:x val="-7.4466261853947044E-2"/>
                  <c:y val="-3.3341436913627488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B2-455C-99AB-9763C01B69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z-Buckling'!$S$100</c:f>
              <c:numCache>
                <c:formatCode>0.00</c:formatCode>
                <c:ptCount val="1"/>
                <c:pt idx="0">
                  <c:v>187.33997289746299</c:v>
                </c:pt>
              </c:numCache>
            </c:numRef>
          </c:xVal>
          <c:yVal>
            <c:numRef>
              <c:f>'4. z-Buckling'!$T$100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7B-4181-ABF1-A0654EB55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4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 (kN-m)</a:t>
                </a:r>
              </a:p>
            </c:rich>
          </c:tx>
          <c:layout>
            <c:manualLayout>
              <c:xMode val="edge"/>
              <c:yMode val="edge"/>
              <c:x val="0.30550929753623246"/>
              <c:y val="0.74663378928375923"/>
            </c:manualLayout>
          </c:layout>
          <c:overlay val="1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20"/>
        <c:crosses val="autoZero"/>
        <c:crossBetween val="midCat"/>
        <c:majorUnit val="50"/>
        <c:minorUnit val="20"/>
      </c:valAx>
      <c:valAx>
        <c:axId val="20"/>
        <c:scaling>
          <c:orientation val="minMax"/>
          <c:max val="63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 (kN)</a:t>
                </a:r>
              </a:p>
            </c:rich>
          </c:tx>
          <c:layout>
            <c:manualLayout>
              <c:xMode val="edge"/>
              <c:yMode val="edge"/>
              <c:x val="2.8344726555688878E-2"/>
              <c:y val="0.31732788097324233"/>
            </c:manualLayout>
          </c:layout>
          <c:overlay val="1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4826194943386413E-2"/>
          <c:y val="0.8355906396148578"/>
          <c:w val="0.80046121557029393"/>
          <c:h val="0.140151740643387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 orientation="portrait"/>
  </c:printSettings>
</c:chartSpac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66261</xdr:colOff>
      <xdr:row>9</xdr:row>
      <xdr:rowOff>32632</xdr:rowOff>
    </xdr:from>
    <xdr:to>
      <xdr:col>5</xdr:col>
      <xdr:colOff>0</xdr:colOff>
      <xdr:row>26</xdr:row>
      <xdr:rowOff>174288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9C61D9A-B11E-4D00-9E2D-A0DEBE63C55C}"/>
            </a:ext>
          </a:extLst>
        </xdr:cNvPr>
        <xdr:cNvGrpSpPr/>
      </xdr:nvGrpSpPr>
      <xdr:grpSpPr>
        <a:xfrm>
          <a:off x="66261" y="1689982"/>
          <a:ext cx="4934364" cy="3370631"/>
          <a:chOff x="220532" y="1985502"/>
          <a:chExt cx="5914573" cy="4166527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954C520-B8F2-9CD5-E5B8-0F3B7C54511F}"/>
              </a:ext>
            </a:extLst>
          </xdr:cNvPr>
          <xdr:cNvGrpSpPr/>
        </xdr:nvGrpSpPr>
        <xdr:grpSpPr>
          <a:xfrm>
            <a:off x="220532" y="1985502"/>
            <a:ext cx="5914573" cy="3931663"/>
            <a:chOff x="220532" y="1985502"/>
            <a:chExt cx="5914573" cy="3931663"/>
          </a:xfrm>
        </xdr:grpSpPr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1975753-0584-BD97-4457-1A33EEFF844D}"/>
                </a:ext>
              </a:extLst>
            </xdr:cNvPr>
            <xdr:cNvSpPr txBox="1"/>
          </xdr:nvSpPr>
          <xdr:spPr>
            <a:xfrm>
              <a:off x="220532" y="3953650"/>
              <a:ext cx="292857" cy="374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1800"/>
                <a:t>Z</a:t>
              </a:r>
            </a:p>
          </xdr:txBody>
        </xdr:sp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1B2BBD6B-BB29-0AC4-0494-1F65FFC00515}"/>
                </a:ext>
              </a:extLst>
            </xdr:cNvPr>
            <xdr:cNvGrpSpPr/>
          </xdr:nvGrpSpPr>
          <xdr:grpSpPr>
            <a:xfrm>
              <a:off x="498231" y="2353235"/>
              <a:ext cx="5242005" cy="3325109"/>
              <a:chOff x="498231" y="2353235"/>
              <a:chExt cx="5242005" cy="3325109"/>
            </a:xfrm>
          </xdr:grpSpPr>
          <xdr:grpSp>
            <xdr:nvGrpSpPr>
              <xdr:cNvPr id="23" name="Group 22">
                <a:extLst>
                  <a:ext uri="{FF2B5EF4-FFF2-40B4-BE49-F238E27FC236}">
                    <a16:creationId xmlns:a16="http://schemas.microsoft.com/office/drawing/2014/main" id="{903FF1BA-747B-8190-8235-68D9A681AC47}"/>
                  </a:ext>
                </a:extLst>
              </xdr:cNvPr>
              <xdr:cNvGrpSpPr/>
            </xdr:nvGrpSpPr>
            <xdr:grpSpPr>
              <a:xfrm>
                <a:off x="498231" y="2353235"/>
                <a:ext cx="5060935" cy="3325109"/>
                <a:chOff x="498231" y="2349633"/>
                <a:chExt cx="5060935" cy="3325109"/>
              </a:xfrm>
            </xdr:grpSpPr>
            <xdr:grpSp>
              <xdr:nvGrpSpPr>
                <xdr:cNvPr id="25" name="Group 24">
                  <a:extLst>
                    <a:ext uri="{FF2B5EF4-FFF2-40B4-BE49-F238E27FC236}">
                      <a16:creationId xmlns:a16="http://schemas.microsoft.com/office/drawing/2014/main" id="{3C3E7190-AAF1-DF39-A080-0F3041B96446}"/>
                    </a:ext>
                  </a:extLst>
                </xdr:cNvPr>
                <xdr:cNvGrpSpPr/>
              </xdr:nvGrpSpPr>
              <xdr:grpSpPr>
                <a:xfrm>
                  <a:off x="498231" y="2349633"/>
                  <a:ext cx="5060935" cy="3325109"/>
                  <a:chOff x="498231" y="2351805"/>
                  <a:chExt cx="5060935" cy="3325109"/>
                </a:xfrm>
              </xdr:grpSpPr>
              <xdr:grpSp>
                <xdr:nvGrpSpPr>
                  <xdr:cNvPr id="27" name="Group 26">
                    <a:extLst>
                      <a:ext uri="{FF2B5EF4-FFF2-40B4-BE49-F238E27FC236}">
                        <a16:creationId xmlns:a16="http://schemas.microsoft.com/office/drawing/2014/main" id="{2EF96109-67E9-EEC3-76D6-E8CFC9F5DE8A}"/>
                      </a:ext>
                    </a:extLst>
                  </xdr:cNvPr>
                  <xdr:cNvGrpSpPr/>
                </xdr:nvGrpSpPr>
                <xdr:grpSpPr>
                  <a:xfrm>
                    <a:off x="498231" y="2351805"/>
                    <a:ext cx="5060935" cy="3325109"/>
                    <a:chOff x="498231" y="1586063"/>
                    <a:chExt cx="5060935" cy="3325109"/>
                  </a:xfrm>
                </xdr:grpSpPr>
                <xdr:grpSp>
                  <xdr:nvGrpSpPr>
                    <xdr:cNvPr id="33" name="Group 32">
                      <a:extLst>
                        <a:ext uri="{FF2B5EF4-FFF2-40B4-BE49-F238E27FC236}">
                          <a16:creationId xmlns:a16="http://schemas.microsoft.com/office/drawing/2014/main" id="{6E4301D1-9EB5-6082-1DFD-1D39DC327CE5}"/>
                        </a:ext>
                      </a:extLst>
                    </xdr:cNvPr>
                    <xdr:cNvGrpSpPr/>
                  </xdr:nvGrpSpPr>
                  <xdr:grpSpPr>
                    <a:xfrm>
                      <a:off x="1152525" y="2216394"/>
                      <a:ext cx="2476500" cy="2305050"/>
                      <a:chOff x="1152525" y="2216394"/>
                      <a:chExt cx="2476500" cy="2212098"/>
                    </a:xfrm>
                  </xdr:grpSpPr>
                  <xdr:grpSp>
                    <xdr:nvGrpSpPr>
                      <xdr:cNvPr id="63" name="Group 62">
                        <a:extLst>
                          <a:ext uri="{FF2B5EF4-FFF2-40B4-BE49-F238E27FC236}">
                            <a16:creationId xmlns:a16="http://schemas.microsoft.com/office/drawing/2014/main" id="{6397CC4F-3736-0CBE-5A7F-4DC3162F90A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152525" y="2216394"/>
                        <a:ext cx="2476500" cy="2212098"/>
                        <a:chOff x="1152525" y="2219325"/>
                        <a:chExt cx="2476500" cy="2212098"/>
                      </a:xfrm>
                    </xdr:grpSpPr>
                    <xdr:sp macro="" textlink="">
                      <xdr:nvSpPr>
                        <xdr:cNvPr id="68" name="Rectangle 67">
                          <a:extLst>
                            <a:ext uri="{FF2B5EF4-FFF2-40B4-BE49-F238E27FC236}">
                              <a16:creationId xmlns:a16="http://schemas.microsoft.com/office/drawing/2014/main" id="{2FFE2553-4362-8B63-F04E-CC17660DCEB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152525" y="2219325"/>
                          <a:ext cx="2476500" cy="2212098"/>
                        </a:xfrm>
                        <a:prstGeom prst="rect">
                          <a:avLst/>
                        </a:prstGeom>
                        <a:solidFill>
                          <a:schemeClr val="bg1">
                            <a:lumMod val="85000"/>
                          </a:schemeClr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IN" sz="1100"/>
                        </a:p>
                      </xdr:txBody>
                    </xdr:sp>
                    <xdr:grpSp>
                      <xdr:nvGrpSpPr>
                        <xdr:cNvPr id="69" name="Group 68">
                          <a:extLst>
                            <a:ext uri="{FF2B5EF4-FFF2-40B4-BE49-F238E27FC236}">
                              <a16:creationId xmlns:a16="http://schemas.microsoft.com/office/drawing/2014/main" id="{2506FF88-3251-070C-ACB0-7ED49123AFC6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524000" y="2533650"/>
                          <a:ext cx="1695450" cy="1600200"/>
                          <a:chOff x="1524000" y="2533650"/>
                          <a:chExt cx="1695450" cy="1600200"/>
                        </a:xfrm>
                      </xdr:grpSpPr>
                      <xdr:sp macro="" textlink="">
                        <xdr:nvSpPr>
                          <xdr:cNvPr id="70" name="Rectangle 69">
                            <a:extLst>
                              <a:ext uri="{FF2B5EF4-FFF2-40B4-BE49-F238E27FC236}">
                                <a16:creationId xmlns:a16="http://schemas.microsoft.com/office/drawing/2014/main" id="{FA613B65-BF85-CF73-4BE7-C4D9F2210FA7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524000" y="2533650"/>
                            <a:ext cx="1695450" cy="209550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dk1">
                              <a:shade val="15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IN" sz="1100"/>
                          </a:p>
                        </xdr:txBody>
                      </xdr:sp>
                      <xdr:sp macro="" textlink="">
                        <xdr:nvSpPr>
                          <xdr:cNvPr id="71" name="Rectangle 70">
                            <a:extLst>
                              <a:ext uri="{FF2B5EF4-FFF2-40B4-BE49-F238E27FC236}">
                                <a16:creationId xmlns:a16="http://schemas.microsoft.com/office/drawing/2014/main" id="{145B149B-06CC-213D-A5FB-FC01A374989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524000" y="3924300"/>
                            <a:ext cx="1695450" cy="209550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dk1">
                              <a:shade val="15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IN" sz="1100"/>
                          </a:p>
                        </xdr:txBody>
                      </xdr:sp>
                      <xdr:sp macro="" textlink="">
                        <xdr:nvSpPr>
                          <xdr:cNvPr id="72" name="Rectangle 71">
                            <a:extLst>
                              <a:ext uri="{FF2B5EF4-FFF2-40B4-BE49-F238E27FC236}">
                                <a16:creationId xmlns:a16="http://schemas.microsoft.com/office/drawing/2014/main" id="{46248CFF-BD6A-2D15-6738-414FF21D848D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54703" y="2752726"/>
                            <a:ext cx="217714" cy="1177018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dk1">
                              <a:shade val="15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IN" sz="1100"/>
                          </a:p>
                        </xdr:txBody>
                      </xdr:sp>
                    </xdr:grpSp>
                  </xdr:grpSp>
                  <xdr:sp macro="" textlink="">
                    <xdr:nvSpPr>
                      <xdr:cNvPr id="64" name="Oval 63">
                        <a:extLst>
                          <a:ext uri="{FF2B5EF4-FFF2-40B4-BE49-F238E27FC236}">
                            <a16:creationId xmlns:a16="http://schemas.microsoft.com/office/drawing/2014/main" id="{4959A91E-0081-CAF2-3925-AF85B81F1AF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280948" y="2319855"/>
                        <a:ext cx="90758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  <xdr:sp macro="" textlink="">
                    <xdr:nvSpPr>
                      <xdr:cNvPr id="65" name="Oval 64">
                        <a:extLst>
                          <a:ext uri="{FF2B5EF4-FFF2-40B4-BE49-F238E27FC236}">
                            <a16:creationId xmlns:a16="http://schemas.microsoft.com/office/drawing/2014/main" id="{27820BCE-4B14-D4C2-05A4-42D9E774FAB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369879" y="2319855"/>
                        <a:ext cx="90000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  <xdr:sp macro="" textlink="">
                    <xdr:nvSpPr>
                      <xdr:cNvPr id="66" name="Oval 65">
                        <a:extLst>
                          <a:ext uri="{FF2B5EF4-FFF2-40B4-BE49-F238E27FC236}">
                            <a16:creationId xmlns:a16="http://schemas.microsoft.com/office/drawing/2014/main" id="{2C354024-1F85-6401-4662-B5A2231A739B}"/>
                          </a:ext>
                        </a:extLst>
                      </xdr:cNvPr>
                      <xdr:cNvSpPr/>
                    </xdr:nvSpPr>
                    <xdr:spPr>
                      <a:xfrm>
                        <a:off x="1280948" y="4193157"/>
                        <a:ext cx="90758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  <xdr:sp macro="" textlink="">
                    <xdr:nvSpPr>
                      <xdr:cNvPr id="67" name="Oval 66">
                        <a:extLst>
                          <a:ext uri="{FF2B5EF4-FFF2-40B4-BE49-F238E27FC236}">
                            <a16:creationId xmlns:a16="http://schemas.microsoft.com/office/drawing/2014/main" id="{F8056427-76E9-23CE-9DEB-BED9E8ADD3E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369879" y="4193157"/>
                        <a:ext cx="90000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</xdr:grpSp>
                <xdr:grpSp>
                  <xdr:nvGrpSpPr>
                    <xdr:cNvPr id="34" name="Group 33">
                      <a:extLst>
                        <a:ext uri="{FF2B5EF4-FFF2-40B4-BE49-F238E27FC236}">
                          <a16:creationId xmlns:a16="http://schemas.microsoft.com/office/drawing/2014/main" id="{56251D2E-6D30-1B2D-7A03-4DA3C3D6CAF3}"/>
                        </a:ext>
                      </a:extLst>
                    </xdr:cNvPr>
                    <xdr:cNvGrpSpPr/>
                  </xdr:nvGrpSpPr>
                  <xdr:grpSpPr>
                    <a:xfrm>
                      <a:off x="498231" y="1586063"/>
                      <a:ext cx="5060935" cy="3325109"/>
                      <a:chOff x="498231" y="1586063"/>
                      <a:chExt cx="5060935" cy="3325109"/>
                    </a:xfrm>
                  </xdr:grpSpPr>
                  <xdr:cxnSp macro="">
                    <xdr:nvCxnSpPr>
                      <xdr:cNvPr id="35" name="Straight Connector 34">
                        <a:extLst>
                          <a:ext uri="{FF2B5EF4-FFF2-40B4-BE49-F238E27FC236}">
                            <a16:creationId xmlns:a16="http://schemas.microsoft.com/office/drawing/2014/main" id="{8222FEEB-31BC-0CE9-881F-C53DB35312F6}"/>
                          </a:ext>
                        </a:extLst>
                      </xdr:cNvPr>
                      <xdr:cNvCxnSpPr>
                        <a:endCxn id="72" idx="3"/>
                      </xdr:cNvCxnSpPr>
                    </xdr:nvCxnSpPr>
                    <xdr:spPr>
                      <a:xfrm flipV="1">
                        <a:off x="498231" y="3385447"/>
                        <a:ext cx="1915079" cy="0"/>
                      </a:xfrm>
                      <a:prstGeom prst="line">
                        <a:avLst/>
                      </a:prstGeom>
                      <a:ln>
                        <a:prstDash val="dashDot"/>
                        <a:headEnd type="triangle"/>
                      </a:ln>
                    </xdr:spPr>
                    <xdr:style>
                      <a:lnRef idx="3">
                        <a:schemeClr val="dk1"/>
                      </a:lnRef>
                      <a:fillRef idx="0">
                        <a:schemeClr val="dk1"/>
                      </a:fillRef>
                      <a:effectRef idx="2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6" name="Straight Arrow Connector 35">
                        <a:extLst>
                          <a:ext uri="{FF2B5EF4-FFF2-40B4-BE49-F238E27FC236}">
                            <a16:creationId xmlns:a16="http://schemas.microsoft.com/office/drawing/2014/main" id="{26678EE4-4ED7-4523-7711-7B4842742D38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849923" y="2344615"/>
                        <a:ext cx="0" cy="996462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7" name="Straight Connector 36">
                        <a:extLst>
                          <a:ext uri="{FF2B5EF4-FFF2-40B4-BE49-F238E27FC236}">
                            <a16:creationId xmlns:a16="http://schemas.microsoft.com/office/drawing/2014/main" id="{81786454-492E-80BC-126C-98040AF1678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34865" y="2351942"/>
                        <a:ext cx="498231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8" name="Straight Connector 37">
                        <a:extLst>
                          <a:ext uri="{FF2B5EF4-FFF2-40B4-BE49-F238E27FC236}">
                            <a16:creationId xmlns:a16="http://schemas.microsoft.com/office/drawing/2014/main" id="{27D9B842-2FD6-178B-0288-13888D0C9A14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34865" y="4293577"/>
                        <a:ext cx="498231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9" name="Straight Arrow Connector 38">
                        <a:extLst>
                          <a:ext uri="{FF2B5EF4-FFF2-40B4-BE49-F238E27FC236}">
                            <a16:creationId xmlns:a16="http://schemas.microsoft.com/office/drawing/2014/main" id="{A3DD17EF-525D-03C6-9713-F4F2FAD49A14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849923" y="3429000"/>
                        <a:ext cx="0" cy="85725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0" name="Straight Arrow Connector 39">
                        <a:extLst>
                          <a:ext uri="{FF2B5EF4-FFF2-40B4-BE49-F238E27FC236}">
                            <a16:creationId xmlns:a16="http://schemas.microsoft.com/office/drawing/2014/main" id="{374239AB-5D83-4560-D9A9-DADC1C9014F8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64248" y="1740877"/>
                        <a:ext cx="2464777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" name="Straight Arrow Connector 40">
                        <a:extLst>
                          <a:ext uri="{FF2B5EF4-FFF2-40B4-BE49-F238E27FC236}">
                            <a16:creationId xmlns:a16="http://schemas.microsoft.com/office/drawing/2014/main" id="{7431C412-B698-ABBC-F93F-F97A6F10A78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64248" y="2055202"/>
                        <a:ext cx="39785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2" name="Straight Arrow Connector 41">
                        <a:extLst>
                          <a:ext uri="{FF2B5EF4-FFF2-40B4-BE49-F238E27FC236}">
                            <a16:creationId xmlns:a16="http://schemas.microsoft.com/office/drawing/2014/main" id="{CAD503A1-0113-7381-7C4B-1C9458A30CBA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212123" y="2055202"/>
                        <a:ext cx="39785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3" name="Straight Arrow Connector 42">
                        <a:extLst>
                          <a:ext uri="{FF2B5EF4-FFF2-40B4-BE49-F238E27FC236}">
                            <a16:creationId xmlns:a16="http://schemas.microsoft.com/office/drawing/2014/main" id="{00BECC38-8DE4-E49A-CF96-57F4100EB34C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573823" y="2055202"/>
                        <a:ext cx="161705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4" name="Straight Connector 43">
                        <a:extLst>
                          <a:ext uri="{FF2B5EF4-FFF2-40B4-BE49-F238E27FC236}">
                            <a16:creationId xmlns:a16="http://schemas.microsoft.com/office/drawing/2014/main" id="{FD625C2A-A961-4867-7B67-623E0AE0F902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53990" y="1685192"/>
                        <a:ext cx="0" cy="483577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5" name="Straight Connector 44">
                        <a:extLst>
                          <a:ext uri="{FF2B5EF4-FFF2-40B4-BE49-F238E27FC236}">
                            <a16:creationId xmlns:a16="http://schemas.microsoft.com/office/drawing/2014/main" id="{EB603C1A-AFCE-756D-144D-929644C44E56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630490" y="1685192"/>
                        <a:ext cx="0" cy="483577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6" name="Straight Connector 45">
                        <a:extLst>
                          <a:ext uri="{FF2B5EF4-FFF2-40B4-BE49-F238E27FC236}">
                            <a16:creationId xmlns:a16="http://schemas.microsoft.com/office/drawing/2014/main" id="{A4548328-37A3-67D8-74F3-64423D2281D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563565" y="1854444"/>
                        <a:ext cx="0" cy="314325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7" name="Straight Connector 46">
                        <a:extLst>
                          <a:ext uri="{FF2B5EF4-FFF2-40B4-BE49-F238E27FC236}">
                            <a16:creationId xmlns:a16="http://schemas.microsoft.com/office/drawing/2014/main" id="{85384CA2-A1F5-D1FE-538D-1D9648D735A6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402140" y="2235444"/>
                        <a:ext cx="0" cy="2286000"/>
                      </a:xfrm>
                      <a:prstGeom prst="line">
                        <a:avLst/>
                      </a:prstGeom>
                      <a:ln w="444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8" name="Straight Arrow Connector 47">
                        <a:extLst>
                          <a:ext uri="{FF2B5EF4-FFF2-40B4-BE49-F238E27FC236}">
                            <a16:creationId xmlns:a16="http://schemas.microsoft.com/office/drawing/2014/main" id="{46584F3C-8594-2E4A-7A9C-DEA554DF26BA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3907448" y="2540244"/>
                        <a:ext cx="0" cy="1647825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9" name="Straight Arrow Connector 48">
                        <a:extLst>
                          <a:ext uri="{FF2B5EF4-FFF2-40B4-BE49-F238E27FC236}">
                            <a16:creationId xmlns:a16="http://schemas.microsoft.com/office/drawing/2014/main" id="{016FB985-505C-BF2B-A363-C754D8662395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3907448" y="2206869"/>
                        <a:ext cx="0" cy="34290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0" name="Straight Arrow Connector 49">
                        <a:extLst>
                          <a:ext uri="{FF2B5EF4-FFF2-40B4-BE49-F238E27FC236}">
                            <a16:creationId xmlns:a16="http://schemas.microsoft.com/office/drawing/2014/main" id="{3A8B653F-3D63-2E5A-6FD9-630707D6DC95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3907448" y="4188069"/>
                        <a:ext cx="0" cy="34290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1" name="Straight Connector 50">
                        <a:extLst>
                          <a:ext uri="{FF2B5EF4-FFF2-40B4-BE49-F238E27FC236}">
                            <a16:creationId xmlns:a16="http://schemas.microsoft.com/office/drawing/2014/main" id="{F15819A3-1EA0-86CA-653D-A2074D7A4B6E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2206869"/>
                        <a:ext cx="770060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2" name="Straight Connector 51">
                        <a:extLst>
                          <a:ext uri="{FF2B5EF4-FFF2-40B4-BE49-F238E27FC236}">
                            <a16:creationId xmlns:a16="http://schemas.microsoft.com/office/drawing/2014/main" id="{C724493C-5B15-C455-55AD-C5F3E46C3CA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4521444"/>
                        <a:ext cx="798635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3" name="Straight Connector 52">
                        <a:extLst>
                          <a:ext uri="{FF2B5EF4-FFF2-40B4-BE49-F238E27FC236}">
                            <a16:creationId xmlns:a16="http://schemas.microsoft.com/office/drawing/2014/main" id="{F704FC73-78B9-9E67-9E75-77C220C24745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4188069"/>
                        <a:ext cx="360000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4" name="Straight Connector 53">
                        <a:extLst>
                          <a:ext uri="{FF2B5EF4-FFF2-40B4-BE49-F238E27FC236}">
                            <a16:creationId xmlns:a16="http://schemas.microsoft.com/office/drawing/2014/main" id="{F91F57A1-6BA2-726E-7C38-919AD107C926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2540244"/>
                        <a:ext cx="360000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5" name="Straight Arrow Connector 54">
                        <a:extLst>
                          <a:ext uri="{FF2B5EF4-FFF2-40B4-BE49-F238E27FC236}">
                            <a16:creationId xmlns:a16="http://schemas.microsoft.com/office/drawing/2014/main" id="{5BF39381-24D7-AF66-53CE-32A5E80E706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316648" y="4705350"/>
                        <a:ext cx="102650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6" name="Straight Arrow Connector 55">
                        <a:extLst>
                          <a:ext uri="{FF2B5EF4-FFF2-40B4-BE49-F238E27FC236}">
                            <a16:creationId xmlns:a16="http://schemas.microsoft.com/office/drawing/2014/main" id="{51594B47-D0ED-8BC6-CEDE-359BCF5B7BE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412023" y="4705350"/>
                        <a:ext cx="997927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7" name="Straight Connector 56">
                        <a:extLst>
                          <a:ext uri="{FF2B5EF4-FFF2-40B4-BE49-F238E27FC236}">
                            <a16:creationId xmlns:a16="http://schemas.microsoft.com/office/drawing/2014/main" id="{81C3BF09-CE07-FB88-5080-8779F7153C19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2374656" y="3471172"/>
                        <a:ext cx="0" cy="1440000"/>
                      </a:xfrm>
                      <a:prstGeom prst="line">
                        <a:avLst/>
                      </a:prstGeom>
                      <a:ln>
                        <a:prstDash val="dashDot"/>
                        <a:headEnd type="triangle"/>
                      </a:ln>
                    </xdr:spPr>
                    <xdr:style>
                      <a:lnRef idx="3">
                        <a:schemeClr val="dk1"/>
                      </a:lnRef>
                      <a:fillRef idx="0">
                        <a:schemeClr val="dk1"/>
                      </a:fillRef>
                      <a:effectRef idx="2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8" name="Straight Connector 57">
                        <a:extLst>
                          <a:ext uri="{FF2B5EF4-FFF2-40B4-BE49-F238E27FC236}">
                            <a16:creationId xmlns:a16="http://schemas.microsoft.com/office/drawing/2014/main" id="{775A085C-15B3-F7F6-52FE-56B050A12272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1309321" y="4521444"/>
                        <a:ext cx="0" cy="364148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9" name="Straight Connector 58">
                        <a:extLst>
                          <a:ext uri="{FF2B5EF4-FFF2-40B4-BE49-F238E27FC236}">
                            <a16:creationId xmlns:a16="http://schemas.microsoft.com/office/drawing/2014/main" id="{157C2D4B-CB3F-5337-E543-BD9CAAE45C1F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3423871" y="4521444"/>
                        <a:ext cx="0" cy="364148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0" name="Straight Arrow Connector 59">
                        <a:extLst>
                          <a:ext uri="{FF2B5EF4-FFF2-40B4-BE49-F238E27FC236}">
                            <a16:creationId xmlns:a16="http://schemas.microsoft.com/office/drawing/2014/main" id="{FEB86309-2A05-1157-6E81-34F51BA0E234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4393223" y="2216394"/>
                        <a:ext cx="0" cy="230505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1" name="Straight Arrow Connector 60">
                        <a:extLst>
                          <a:ext uri="{FF2B5EF4-FFF2-40B4-BE49-F238E27FC236}">
                            <a16:creationId xmlns:a16="http://schemas.microsoft.com/office/drawing/2014/main" id="{A888F110-B12C-74E2-C7CC-FCE4F570900F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5559166" y="2216394"/>
                        <a:ext cx="0" cy="230505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2" name="Straight Arrow Connector 61">
                        <a:extLst>
                          <a:ext uri="{FF2B5EF4-FFF2-40B4-BE49-F238E27FC236}">
                            <a16:creationId xmlns:a16="http://schemas.microsoft.com/office/drawing/2014/main" id="{C4964299-D532-9E77-46BF-5344912EF39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5402312" y="1586063"/>
                        <a:ext cx="0" cy="548528"/>
                      </a:xfrm>
                      <a:prstGeom prst="straightConnector1">
                        <a:avLst/>
                      </a:prstGeom>
                      <a:ln w="25400">
                        <a:solidFill>
                          <a:sysClr val="windowText" lastClr="000000"/>
                        </a:solidFill>
                        <a:headEnd type="triangle"/>
                        <a:tailEnd type="non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3" name="Straight Arrow Connector 72">
                        <a:extLst>
                          <a:ext uri="{FF2B5EF4-FFF2-40B4-BE49-F238E27FC236}">
                            <a16:creationId xmlns:a16="http://schemas.microsoft.com/office/drawing/2014/main" id="{EA995833-F2D2-F0EF-1983-9E28DF8698D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2768639" y="2792740"/>
                        <a:ext cx="0" cy="38326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5" name="Straight Arrow Connector 74">
                        <a:extLst>
                          <a:ext uri="{FF2B5EF4-FFF2-40B4-BE49-F238E27FC236}">
                            <a16:creationId xmlns:a16="http://schemas.microsoft.com/office/drawing/2014/main" id="{0C4D02EB-8536-E8E3-F555-988C4CECAE1D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768639" y="2188293"/>
                        <a:ext cx="0" cy="337097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9" name="Straight Arrow Connector 78">
                        <a:extLst>
                          <a:ext uri="{FF2B5EF4-FFF2-40B4-BE49-F238E27FC236}">
                            <a16:creationId xmlns:a16="http://schemas.microsoft.com/office/drawing/2014/main" id="{6EFC39B5-6BCE-9BFE-B21F-968D406A7BBC}"/>
                          </a:ext>
                        </a:extLst>
                      </xdr:cNvPr>
                      <xdr:cNvCxnSpPr/>
                    </xdr:nvCxnSpPr>
                    <xdr:spPr>
                      <a:xfrm flipH="1" flipV="1">
                        <a:off x="2509163" y="3758167"/>
                        <a:ext cx="294137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81" name="Straight Arrow Connector 80">
                        <a:extLst>
                          <a:ext uri="{FF2B5EF4-FFF2-40B4-BE49-F238E27FC236}">
                            <a16:creationId xmlns:a16="http://schemas.microsoft.com/office/drawing/2014/main" id="{FA4B3EEA-371C-0176-8AF5-FD7D36FE05CE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931174" y="3758167"/>
                        <a:ext cx="304098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</xdr:grpSp>
              <xdr:grpSp>
                <xdr:nvGrpSpPr>
                  <xdr:cNvPr id="28" name="Group 27">
                    <a:extLst>
                      <a:ext uri="{FF2B5EF4-FFF2-40B4-BE49-F238E27FC236}">
                        <a16:creationId xmlns:a16="http://schemas.microsoft.com/office/drawing/2014/main" id="{8A8E4CCF-67D7-3B1B-7B9F-72B5AAFA7494}"/>
                      </a:ext>
                    </a:extLst>
                  </xdr:cNvPr>
                  <xdr:cNvGrpSpPr/>
                </xdr:nvGrpSpPr>
                <xdr:grpSpPr>
                  <a:xfrm>
                    <a:off x="5085925" y="2929313"/>
                    <a:ext cx="409010" cy="2540190"/>
                    <a:chOff x="5085925" y="2929313"/>
                    <a:chExt cx="409010" cy="2540190"/>
                  </a:xfrm>
                </xdr:grpSpPr>
                <xdr:sp macro="" textlink="">
                  <xdr:nvSpPr>
                    <xdr:cNvPr id="29" name="Isosceles Triangle 28">
                      <a:extLst>
                        <a:ext uri="{FF2B5EF4-FFF2-40B4-BE49-F238E27FC236}">
                          <a16:creationId xmlns:a16="http://schemas.microsoft.com/office/drawing/2014/main" id="{82E8C4A7-4819-A5DC-1D91-E3AC5877AE37}"/>
                        </a:ext>
                      </a:extLst>
                    </xdr:cNvPr>
                    <xdr:cNvSpPr/>
                  </xdr:nvSpPr>
                  <xdr:spPr>
                    <a:xfrm rot="5400000">
                      <a:off x="5185234" y="2936732"/>
                      <a:ext cx="180000" cy="181920"/>
                    </a:xfrm>
                    <a:prstGeom prst="triangle">
                      <a:avLst>
                        <a:gd name="adj" fmla="val 47227"/>
                      </a:avLst>
                    </a:prstGeom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30" name="Oval 29">
                      <a:extLst>
                        <a:ext uri="{FF2B5EF4-FFF2-40B4-BE49-F238E27FC236}">
                          <a16:creationId xmlns:a16="http://schemas.microsoft.com/office/drawing/2014/main" id="{094E0078-C26B-4D72-59A1-1A33DA3235AB}"/>
                        </a:ext>
                      </a:extLst>
                    </xdr:cNvPr>
                    <xdr:cNvSpPr/>
                  </xdr:nvSpPr>
                  <xdr:spPr>
                    <a:xfrm>
                      <a:off x="5085925" y="2929313"/>
                      <a:ext cx="72000" cy="72000"/>
                    </a:xfrm>
                    <a:prstGeom prst="ellipse">
                      <a:avLst/>
                    </a:prstGeom>
                    <a:ln w="635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31" name="Oval 30">
                      <a:extLst>
                        <a:ext uri="{FF2B5EF4-FFF2-40B4-BE49-F238E27FC236}">
                          <a16:creationId xmlns:a16="http://schemas.microsoft.com/office/drawing/2014/main" id="{EEABBDA2-DF8F-979D-0F18-8ADA4600825D}"/>
                        </a:ext>
                      </a:extLst>
                    </xdr:cNvPr>
                    <xdr:cNvSpPr/>
                  </xdr:nvSpPr>
                  <xdr:spPr>
                    <a:xfrm>
                      <a:off x="5085925" y="3061592"/>
                      <a:ext cx="72000" cy="72000"/>
                    </a:xfrm>
                    <a:prstGeom prst="ellipse">
                      <a:avLst/>
                    </a:prstGeom>
                    <a:ln w="635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32" name="Isosceles Triangle 31">
                      <a:extLst>
                        <a:ext uri="{FF2B5EF4-FFF2-40B4-BE49-F238E27FC236}">
                          <a16:creationId xmlns:a16="http://schemas.microsoft.com/office/drawing/2014/main" id="{401505A9-8B70-9B81-4352-6E45E2452B15}"/>
                        </a:ext>
                      </a:extLst>
                    </xdr:cNvPr>
                    <xdr:cNvSpPr/>
                  </xdr:nvSpPr>
                  <xdr:spPr>
                    <a:xfrm>
                      <a:off x="5314935" y="5287583"/>
                      <a:ext cx="180000" cy="181920"/>
                    </a:xfrm>
                    <a:prstGeom prst="triangle">
                      <a:avLst>
                        <a:gd name="adj" fmla="val 47227"/>
                      </a:avLst>
                    </a:prstGeom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  <xdr:sp macro="" textlink="">
              <xdr:nvSpPr>
                <xdr:cNvPr id="26" name="Rectangle 25">
                  <a:extLst>
                    <a:ext uri="{FF2B5EF4-FFF2-40B4-BE49-F238E27FC236}">
                      <a16:creationId xmlns:a16="http://schemas.microsoft.com/office/drawing/2014/main" id="{49EEB70A-B1B0-96CE-1ED8-70CF06FF920C}"/>
                    </a:ext>
                  </a:extLst>
                </xdr:cNvPr>
                <xdr:cNvSpPr/>
              </xdr:nvSpPr>
              <xdr:spPr>
                <a:xfrm>
                  <a:off x="5312009" y="5469637"/>
                  <a:ext cx="191027" cy="59941"/>
                </a:xfrm>
                <a:prstGeom prst="rect">
                  <a:avLst/>
                </a:prstGeom>
                <a:pattFill prst="wdUpDiag">
                  <a:fgClr>
                    <a:schemeClr val="tx1"/>
                  </a:fgClr>
                  <a:bgClr>
                    <a:schemeClr val="bg1"/>
                  </a:bgClr>
                </a:patt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</xdr:grpSp>
          <xdr:sp macro="" textlink="">
            <xdr:nvSpPr>
              <xdr:cNvPr id="24" name="Arc 23">
                <a:extLst>
                  <a:ext uri="{FF2B5EF4-FFF2-40B4-BE49-F238E27FC236}">
                    <a16:creationId xmlns:a16="http://schemas.microsoft.com/office/drawing/2014/main" id="{75129BE3-3D35-0956-96F7-D2071B4999FB}"/>
                  </a:ext>
                </a:extLst>
              </xdr:cNvPr>
              <xdr:cNvSpPr/>
            </xdr:nvSpPr>
            <xdr:spPr>
              <a:xfrm>
                <a:off x="5020236" y="2622176"/>
                <a:ext cx="720000" cy="720000"/>
              </a:xfrm>
              <a:prstGeom prst="arc">
                <a:avLst>
                  <a:gd name="adj1" fmla="val 11433657"/>
                  <a:gd name="adj2" fmla="val 227838"/>
                </a:avLst>
              </a:prstGeom>
              <a:ln w="22225">
                <a:solidFill>
                  <a:schemeClr val="tx1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</xdr:grpSp>
        <xdr:sp macro="" textlink="$K$16">
          <xdr:nvSpPr>
            <xdr:cNvPr id="8" name="TextBox 7">
              <a:extLst>
                <a:ext uri="{FF2B5EF4-FFF2-40B4-BE49-F238E27FC236}">
                  <a16:creationId xmlns:a16="http://schemas.microsoft.com/office/drawing/2014/main" id="{A72C4356-6C61-EADE-8BC8-BE50D2E3F50D}"/>
                </a:ext>
              </a:extLst>
            </xdr:cNvPr>
            <xdr:cNvSpPr txBox="1"/>
          </xdr:nvSpPr>
          <xdr:spPr>
            <a:xfrm>
              <a:off x="5549436" y="4020325"/>
              <a:ext cx="450328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A19FC4E6-41A2-435F-AFFB-1D68BA18363D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7.0</a:t>
              </a:fld>
              <a:endParaRPr lang="en-IN" sz="1100"/>
            </a:p>
          </xdr:txBody>
        </xdr:sp>
        <xdr:sp macro="" textlink="$K$12">
          <xdr:nvSpPr>
            <xdr:cNvPr id="9" name="TextBox 8">
              <a:extLst>
                <a:ext uri="{FF2B5EF4-FFF2-40B4-BE49-F238E27FC236}">
                  <a16:creationId xmlns:a16="http://schemas.microsoft.com/office/drawing/2014/main" id="{62117E6F-1EBB-78FD-516B-61E5FFE3B7BF}"/>
                </a:ext>
              </a:extLst>
            </xdr:cNvPr>
            <xdr:cNvSpPr txBox="1"/>
          </xdr:nvSpPr>
          <xdr:spPr>
            <a:xfrm>
              <a:off x="4384085" y="4020325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18C0491-4CCB-41D6-9B8A-ECBD1874A758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400</a:t>
              </a:fld>
              <a:endParaRPr lang="en-IN" sz="1100"/>
            </a:p>
          </xdr:txBody>
        </xdr:sp>
        <xdr:sp macro="" textlink="$K$14">
          <xdr:nvSpPr>
            <xdr:cNvPr id="10" name="TextBox 9">
              <a:extLst>
                <a:ext uri="{FF2B5EF4-FFF2-40B4-BE49-F238E27FC236}">
                  <a16:creationId xmlns:a16="http://schemas.microsoft.com/office/drawing/2014/main" id="{78EBC730-B5E8-0166-9298-233CD40F6F30}"/>
                </a:ext>
              </a:extLst>
            </xdr:cNvPr>
            <xdr:cNvSpPr txBox="1"/>
          </xdr:nvSpPr>
          <xdr:spPr>
            <a:xfrm>
              <a:off x="3840151" y="3985909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4431100A-5262-4C11-90EC-128B4FD9880C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260</a:t>
              </a:fld>
              <a:endParaRPr lang="en-IN" sz="1100"/>
            </a:p>
          </xdr:txBody>
        </xdr:sp>
        <xdr:sp macro="" textlink="$K$24">
          <xdr:nvSpPr>
            <xdr:cNvPr id="11" name="TextBox 10">
              <a:extLst>
                <a:ext uri="{FF2B5EF4-FFF2-40B4-BE49-F238E27FC236}">
                  <a16:creationId xmlns:a16="http://schemas.microsoft.com/office/drawing/2014/main" id="{CA72EEAC-3D95-9112-D4E5-58E0482D2788}"/>
                </a:ext>
              </a:extLst>
            </xdr:cNvPr>
            <xdr:cNvSpPr txBox="1"/>
          </xdr:nvSpPr>
          <xdr:spPr>
            <a:xfrm>
              <a:off x="3886922" y="2947286"/>
              <a:ext cx="406209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84ED5F31-E6C2-41C0-A3EE-00C4F0378D5A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70</a:t>
              </a:fld>
              <a:endParaRPr lang="en-IN" sz="1100"/>
            </a:p>
          </xdr:txBody>
        </xdr:sp>
        <xdr:sp macro="" textlink="$K$24">
          <xdr:nvSpPr>
            <xdr:cNvPr id="12" name="TextBox 11">
              <a:extLst>
                <a:ext uri="{FF2B5EF4-FFF2-40B4-BE49-F238E27FC236}">
                  <a16:creationId xmlns:a16="http://schemas.microsoft.com/office/drawing/2014/main" id="{B5AC2A87-F731-FF8D-855B-F1C4CC343938}"/>
                </a:ext>
              </a:extLst>
            </xdr:cNvPr>
            <xdr:cNvSpPr txBox="1"/>
          </xdr:nvSpPr>
          <xdr:spPr>
            <a:xfrm>
              <a:off x="3873559" y="4922082"/>
              <a:ext cx="406209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6A2F6F8-6C6F-4C9A-9868-11E10011C34D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70</a:t>
              </a:fld>
              <a:endParaRPr lang="en-IN" sz="1100"/>
            </a:p>
          </xdr:txBody>
        </xdr:sp>
        <xdr:sp macro="" textlink="$K$20">
          <xdr:nvSpPr>
            <xdr:cNvPr id="13" name="TextBox 12">
              <a:extLst>
                <a:ext uri="{FF2B5EF4-FFF2-40B4-BE49-F238E27FC236}">
                  <a16:creationId xmlns:a16="http://schemas.microsoft.com/office/drawing/2014/main" id="{2AFE4B46-8F43-C648-3428-9CA5A2C1AFA5}"/>
                </a:ext>
              </a:extLst>
            </xdr:cNvPr>
            <xdr:cNvSpPr txBox="1"/>
          </xdr:nvSpPr>
          <xdr:spPr>
            <a:xfrm>
              <a:off x="346704" y="4534997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854B9967-155F-4FB3-B023-02B1577FC1D8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$K$20">
          <xdr:nvSpPr>
            <xdr:cNvPr id="14" name="TextBox 13">
              <a:extLst>
                <a:ext uri="{FF2B5EF4-FFF2-40B4-BE49-F238E27FC236}">
                  <a16:creationId xmlns:a16="http://schemas.microsoft.com/office/drawing/2014/main" id="{88AC6CEA-6FC0-9323-09B0-BC22AD214F59}"/>
                </a:ext>
              </a:extLst>
            </xdr:cNvPr>
            <xdr:cNvSpPr txBox="1"/>
          </xdr:nvSpPr>
          <xdr:spPr>
            <a:xfrm>
              <a:off x="346704" y="3492850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4442D9F5-0888-41CB-97B5-7E7A9598B5F4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$K$23">
          <xdr:nvSpPr>
            <xdr:cNvPr id="15" name="TextBox 14">
              <a:extLst>
                <a:ext uri="{FF2B5EF4-FFF2-40B4-BE49-F238E27FC236}">
                  <a16:creationId xmlns:a16="http://schemas.microsoft.com/office/drawing/2014/main" id="{DBCA6B15-13F5-22F5-588B-9761E2F41591}"/>
                </a:ext>
              </a:extLst>
            </xdr:cNvPr>
            <xdr:cNvSpPr txBox="1"/>
          </xdr:nvSpPr>
          <xdr:spPr>
            <a:xfrm>
              <a:off x="1143849" y="2479201"/>
              <a:ext cx="406209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878D979B-0385-492E-A69F-C1B5FF7BA0A3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72</a:t>
              </a:fld>
              <a:endParaRPr lang="en-IN" sz="1100"/>
            </a:p>
          </xdr:txBody>
        </xdr:sp>
        <xdr:sp macro="" textlink="$K$13">
          <xdr:nvSpPr>
            <xdr:cNvPr id="16" name="TextBox 15">
              <a:extLst>
                <a:ext uri="{FF2B5EF4-FFF2-40B4-BE49-F238E27FC236}">
                  <a16:creationId xmlns:a16="http://schemas.microsoft.com/office/drawing/2014/main" id="{99728B91-4A08-0FB0-124E-63223D94E4C9}"/>
                </a:ext>
              </a:extLst>
            </xdr:cNvPr>
            <xdr:cNvSpPr txBox="1"/>
          </xdr:nvSpPr>
          <xdr:spPr>
            <a:xfrm>
              <a:off x="2232556" y="2541148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6D9CB48F-0E16-4010-9922-DD9B6E0702F9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256</a:t>
              </a:fld>
              <a:endParaRPr lang="en-IN" sz="1100"/>
            </a:p>
          </xdr:txBody>
        </xdr:sp>
        <xdr:sp macro="" textlink="$K$23">
          <xdr:nvSpPr>
            <xdr:cNvPr id="17" name="TextBox 16">
              <a:extLst>
                <a:ext uri="{FF2B5EF4-FFF2-40B4-BE49-F238E27FC236}">
                  <a16:creationId xmlns:a16="http://schemas.microsoft.com/office/drawing/2014/main" id="{358D1F02-A511-6115-19E5-45B9231D4070}"/>
                </a:ext>
              </a:extLst>
            </xdr:cNvPr>
            <xdr:cNvSpPr txBox="1"/>
          </xdr:nvSpPr>
          <xdr:spPr>
            <a:xfrm>
              <a:off x="3187842" y="2479201"/>
              <a:ext cx="406209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49BA44E3-E716-4619-AD36-5834668A2446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72</a:t>
              </a:fld>
              <a:endParaRPr lang="en-IN" sz="1100"/>
            </a:p>
          </xdr:txBody>
        </xdr:sp>
        <xdr:sp macro="" textlink="$K$11">
          <xdr:nvSpPr>
            <xdr:cNvPr id="18" name="TextBox 17">
              <a:extLst>
                <a:ext uri="{FF2B5EF4-FFF2-40B4-BE49-F238E27FC236}">
                  <a16:creationId xmlns:a16="http://schemas.microsoft.com/office/drawing/2014/main" id="{8DFCC5FD-7B90-DF8A-73DD-1DEE9769885E}"/>
                </a:ext>
              </a:extLst>
            </xdr:cNvPr>
            <xdr:cNvSpPr txBox="1"/>
          </xdr:nvSpPr>
          <xdr:spPr>
            <a:xfrm>
              <a:off x="2232556" y="2216177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D0B1AD5A-0412-492F-909A-93857259C0D7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400</a:t>
              </a:fld>
              <a:endParaRPr lang="en-IN" sz="1100"/>
            </a:p>
          </xdr:txBody>
        </xdr:sp>
        <xdr:sp macro="" textlink="$K$19">
          <xdr:nvSpPr>
            <xdr:cNvPr id="19" name="TextBox 18">
              <a:extLst>
                <a:ext uri="{FF2B5EF4-FFF2-40B4-BE49-F238E27FC236}">
                  <a16:creationId xmlns:a16="http://schemas.microsoft.com/office/drawing/2014/main" id="{22900740-2B71-DF9C-0190-7F2A8D630874}"/>
                </a:ext>
              </a:extLst>
            </xdr:cNvPr>
            <xdr:cNvSpPr txBox="1"/>
          </xdr:nvSpPr>
          <xdr:spPr>
            <a:xfrm>
              <a:off x="2654693" y="5435792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88C048C0-756E-43DF-8EE4-631B8AC38A5F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$K$19">
          <xdr:nvSpPr>
            <xdr:cNvPr id="20" name="TextBox 19">
              <a:extLst>
                <a:ext uri="{FF2B5EF4-FFF2-40B4-BE49-F238E27FC236}">
                  <a16:creationId xmlns:a16="http://schemas.microsoft.com/office/drawing/2014/main" id="{01653F7B-D278-6E00-27C7-A579DC6847EB}"/>
                </a:ext>
              </a:extLst>
            </xdr:cNvPr>
            <xdr:cNvSpPr txBox="1"/>
          </xdr:nvSpPr>
          <xdr:spPr>
            <a:xfrm>
              <a:off x="1585823" y="5428908"/>
              <a:ext cx="494843" cy="3376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AC6A2137-74B2-4C51-A86E-A6CED1A232BB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7297D76-9FD2-CDAC-DEDE-7B4230E59F2B}"/>
                </a:ext>
              </a:extLst>
            </xdr:cNvPr>
            <xdr:cNvSpPr txBox="1"/>
          </xdr:nvSpPr>
          <xdr:spPr>
            <a:xfrm>
              <a:off x="2220567" y="5543024"/>
              <a:ext cx="292857" cy="374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1800"/>
                <a:t>y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6C5EE31-A7A7-F3DD-0B9F-FF500CBEE0D6}"/>
                </a:ext>
              </a:extLst>
            </xdr:cNvPr>
            <xdr:cNvSpPr txBox="1"/>
          </xdr:nvSpPr>
          <xdr:spPr>
            <a:xfrm>
              <a:off x="5837693" y="4020325"/>
              <a:ext cx="297412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</a:t>
              </a:r>
            </a:p>
          </xdr:txBody>
        </xdr:sp>
        <xdr:sp macro="" textlink="'2. Properties'!D38">
          <xdr:nvSpPr>
            <xdr:cNvPr id="3" name="TextBox 2">
              <a:extLst>
                <a:ext uri="{FF2B5EF4-FFF2-40B4-BE49-F238E27FC236}">
                  <a16:creationId xmlns:a16="http://schemas.microsoft.com/office/drawing/2014/main" id="{F3FE93B4-A7C0-F218-1856-94209966C4BE}"/>
                </a:ext>
              </a:extLst>
            </xdr:cNvPr>
            <xdr:cNvSpPr txBox="1"/>
          </xdr:nvSpPr>
          <xdr:spPr>
            <a:xfrm>
              <a:off x="2748113" y="3504264"/>
              <a:ext cx="507403" cy="2976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8AE3FE1E-ADAB-44F7-B95E-05A09E994594}" type="TxLink">
                <a:rPr lang="en-US" sz="900" b="1" i="0" u="none" strike="noStrike">
                  <a:solidFill>
                    <a:srgbClr val="0000CC"/>
                  </a:solidFill>
                  <a:latin typeface="Arial"/>
                  <a:ea typeface="Calibri"/>
                  <a:cs typeface="Arial"/>
                </a:rPr>
                <a:pPr/>
                <a:t>17.3</a:t>
              </a:fld>
              <a:endParaRPr lang="en-IN" sz="1100"/>
            </a:p>
          </xdr:txBody>
        </xdr:sp>
        <xdr:sp macro="" textlink="'2. Properties'!D39">
          <xdr:nvSpPr>
            <xdr:cNvPr id="78" name="TextBox 77">
              <a:extLst>
                <a:ext uri="{FF2B5EF4-FFF2-40B4-BE49-F238E27FC236}">
                  <a16:creationId xmlns:a16="http://schemas.microsoft.com/office/drawing/2014/main" id="{BFA1FB28-6E80-2F26-53AA-F05047C2C62C}"/>
                </a:ext>
              </a:extLst>
            </xdr:cNvPr>
            <xdr:cNvSpPr txBox="1"/>
          </xdr:nvSpPr>
          <xdr:spPr>
            <a:xfrm>
              <a:off x="2488640" y="4194917"/>
              <a:ext cx="507403" cy="2976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2717ACE2-8D24-4A43-B66C-2CD1455AB950}" type="TxLink">
                <a:rPr lang="en-US" sz="900" b="1" i="0" u="none" strike="noStrike">
                  <a:solidFill>
                    <a:srgbClr val="0000CC"/>
                  </a:solidFill>
                  <a:latin typeface="Arial"/>
                  <a:ea typeface="Calibri"/>
                  <a:cs typeface="Arial"/>
                </a:rPr>
                <a:pPr/>
                <a:t>10.5</a:t>
              </a:fld>
              <a:endParaRPr lang="en-IN" sz="1100"/>
            </a:p>
          </xdr:txBody>
        </xdr:sp>
        <xdr:sp macro="" textlink="'2. Properties'!D40">
          <xdr:nvSpPr>
            <xdr:cNvPr id="85" name="TextBox 84">
              <a:extLst>
                <a:ext uri="{FF2B5EF4-FFF2-40B4-BE49-F238E27FC236}">
                  <a16:creationId xmlns:a16="http://schemas.microsoft.com/office/drawing/2014/main" id="{12F4DCEB-A6EE-DCA7-14EC-DF3154681114}"/>
                </a:ext>
              </a:extLst>
            </xdr:cNvPr>
            <xdr:cNvSpPr txBox="1"/>
          </xdr:nvSpPr>
          <xdr:spPr>
            <a:xfrm>
              <a:off x="3843956" y="5435792"/>
              <a:ext cx="388084" cy="2976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1AC592D5-FC43-4C4F-8303-C83AD27FD80E}" type="TxLink">
                <a:rPr lang="en-US" sz="900" b="1" i="0" u="none" strike="noStrike">
                  <a:solidFill>
                    <a:srgbClr val="0000CC"/>
                  </a:solidFill>
                  <a:latin typeface="Arial"/>
                  <a:ea typeface="Calibri"/>
                  <a:cs typeface="Arial"/>
                </a:rPr>
                <a:pPr/>
                <a:t>12</a:t>
              </a:fld>
              <a:endParaRPr lang="en-IN" sz="1100"/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860CB0F-34E9-79DB-0260-9D284E2B9A34}"/>
                </a:ext>
              </a:extLst>
            </xdr:cNvPr>
            <xdr:cNvSpPr txBox="1"/>
          </xdr:nvSpPr>
          <xdr:spPr>
            <a:xfrm>
              <a:off x="4045770" y="5443219"/>
              <a:ext cx="708008" cy="3333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900" b="1" i="0" u="none" strike="noStrike">
                  <a:solidFill>
                    <a:srgbClr val="0000CC"/>
                  </a:solidFill>
                  <a:latin typeface="Arial"/>
                  <a:cs typeface="Arial"/>
                </a:rPr>
                <a:t>M</a:t>
              </a:r>
              <a:r>
                <a:rPr lang="en-IN" sz="900" b="1" i="0" u="none" strike="noStrike" baseline="0">
                  <a:solidFill>
                    <a:srgbClr val="0000CC"/>
                  </a:solidFill>
                  <a:latin typeface="Arial"/>
                  <a:cs typeface="Arial"/>
                </a:rPr>
                <a:t> bar</a:t>
              </a:r>
              <a:endParaRPr lang="en-IN" sz="900" b="1" i="0" u="none" strike="noStrike">
                <a:solidFill>
                  <a:srgbClr val="0000CC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112DD4CF-5A5E-95C1-9508-7DCB4D8F12B3}"/>
                </a:ext>
              </a:extLst>
            </xdr:cNvPr>
            <xdr:cNvSpPr txBox="1"/>
          </xdr:nvSpPr>
          <xdr:spPr>
            <a:xfrm>
              <a:off x="5664709" y="2869238"/>
              <a:ext cx="438910" cy="391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</a:t>
              </a:r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2798E62-3F02-E5DE-E87A-CF3BC1CAF916}"/>
                </a:ext>
              </a:extLst>
            </xdr:cNvPr>
            <xdr:cNvSpPr txBox="1"/>
          </xdr:nvSpPr>
          <xdr:spPr>
            <a:xfrm>
              <a:off x="5225041" y="1985502"/>
              <a:ext cx="370322" cy="391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</a:t>
              </a:r>
            </a:p>
          </xdr:txBody>
        </xdr:sp>
      </xdr:grpSp>
      <xdr:sp macro="" textlink="">
        <xdr:nvSpPr>
          <xdr:cNvPr id="5" name="Arc 4">
            <a:extLst>
              <a:ext uri="{FF2B5EF4-FFF2-40B4-BE49-F238E27FC236}">
                <a16:creationId xmlns:a16="http://schemas.microsoft.com/office/drawing/2014/main" id="{8A9DCB1C-CA2A-1EAB-E1CB-5DE198F6CBBC}"/>
              </a:ext>
            </a:extLst>
          </xdr:cNvPr>
          <xdr:cNvSpPr/>
        </xdr:nvSpPr>
        <xdr:spPr>
          <a:xfrm>
            <a:off x="2913528" y="5087471"/>
            <a:ext cx="1019737" cy="1064558"/>
          </a:xfrm>
          <a:prstGeom prst="arc">
            <a:avLst>
              <a:gd name="adj1" fmla="val 16200000"/>
              <a:gd name="adj2" fmla="val 21324060"/>
            </a:avLst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327212</xdr:colOff>
      <xdr:row>8</xdr:row>
      <xdr:rowOff>66115</xdr:rowOff>
    </xdr:from>
    <xdr:to>
      <xdr:col>13</xdr:col>
      <xdr:colOff>5968</xdr:colOff>
      <xdr:row>25</xdr:row>
      <xdr:rowOff>37564</xdr:rowOff>
    </xdr:to>
    <xdr:grpSp>
      <xdr:nvGrpSpPr>
        <xdr:cNvPr id="162" name="Group 161">
          <a:extLst>
            <a:ext uri="{FF2B5EF4-FFF2-40B4-BE49-F238E27FC236}">
              <a16:creationId xmlns:a16="http://schemas.microsoft.com/office/drawing/2014/main" id="{7E51D9C3-CBBB-4D0F-A5A1-4E3FB2E76F10}"/>
            </a:ext>
          </a:extLst>
        </xdr:cNvPr>
        <xdr:cNvGrpSpPr/>
      </xdr:nvGrpSpPr>
      <xdr:grpSpPr>
        <a:xfrm>
          <a:off x="6575612" y="1666315"/>
          <a:ext cx="4907981" cy="3371874"/>
          <a:chOff x="220532" y="1985502"/>
          <a:chExt cx="5914573" cy="4166527"/>
        </a:xfrm>
      </xdr:grpSpPr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059C73F3-F871-1D1C-65B4-F152B733832B}"/>
              </a:ext>
            </a:extLst>
          </xdr:cNvPr>
          <xdr:cNvGrpSpPr/>
        </xdr:nvGrpSpPr>
        <xdr:grpSpPr>
          <a:xfrm>
            <a:off x="220532" y="1985502"/>
            <a:ext cx="5914573" cy="3931663"/>
            <a:chOff x="220532" y="1985502"/>
            <a:chExt cx="5914573" cy="3931663"/>
          </a:xfrm>
        </xdr:grpSpPr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CFFD2754-5411-770E-D04A-ABE0CF1F5931}"/>
                </a:ext>
              </a:extLst>
            </xdr:cNvPr>
            <xdr:cNvSpPr txBox="1"/>
          </xdr:nvSpPr>
          <xdr:spPr>
            <a:xfrm>
              <a:off x="220532" y="3953650"/>
              <a:ext cx="292857" cy="374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1800"/>
                <a:t>Z</a:t>
              </a:r>
            </a:p>
          </xdr:txBody>
        </xdr:sp>
        <xdr:grpSp>
          <xdr:nvGrpSpPr>
            <xdr:cNvPr id="166" name="Group 165">
              <a:extLst>
                <a:ext uri="{FF2B5EF4-FFF2-40B4-BE49-F238E27FC236}">
                  <a16:creationId xmlns:a16="http://schemas.microsoft.com/office/drawing/2014/main" id="{0FBBC198-E989-23B9-4896-EECDC34B48EF}"/>
                </a:ext>
              </a:extLst>
            </xdr:cNvPr>
            <xdr:cNvGrpSpPr/>
          </xdr:nvGrpSpPr>
          <xdr:grpSpPr>
            <a:xfrm>
              <a:off x="498231" y="2353235"/>
              <a:ext cx="5242005" cy="3325109"/>
              <a:chOff x="498231" y="2353235"/>
              <a:chExt cx="5242005" cy="3325109"/>
            </a:xfrm>
          </xdr:grpSpPr>
          <xdr:grpSp>
            <xdr:nvGrpSpPr>
              <xdr:cNvPr id="188" name="Group 187">
                <a:extLst>
                  <a:ext uri="{FF2B5EF4-FFF2-40B4-BE49-F238E27FC236}">
                    <a16:creationId xmlns:a16="http://schemas.microsoft.com/office/drawing/2014/main" id="{ED728534-ED35-E640-D132-AC39B6C96AD3}"/>
                  </a:ext>
                </a:extLst>
              </xdr:cNvPr>
              <xdr:cNvGrpSpPr/>
            </xdr:nvGrpSpPr>
            <xdr:grpSpPr>
              <a:xfrm>
                <a:off x="498231" y="2353235"/>
                <a:ext cx="5060935" cy="3325109"/>
                <a:chOff x="498231" y="2349633"/>
                <a:chExt cx="5060935" cy="3325109"/>
              </a:xfrm>
            </xdr:grpSpPr>
            <xdr:grpSp>
              <xdr:nvGrpSpPr>
                <xdr:cNvPr id="190" name="Group 189">
                  <a:extLst>
                    <a:ext uri="{FF2B5EF4-FFF2-40B4-BE49-F238E27FC236}">
                      <a16:creationId xmlns:a16="http://schemas.microsoft.com/office/drawing/2014/main" id="{33A0D496-58BC-C86E-D3E7-C598FC7B3077}"/>
                    </a:ext>
                  </a:extLst>
                </xdr:cNvPr>
                <xdr:cNvGrpSpPr/>
              </xdr:nvGrpSpPr>
              <xdr:grpSpPr>
                <a:xfrm>
                  <a:off x="498231" y="2349633"/>
                  <a:ext cx="5060935" cy="3325109"/>
                  <a:chOff x="498231" y="2351805"/>
                  <a:chExt cx="5060935" cy="3325109"/>
                </a:xfrm>
              </xdr:grpSpPr>
              <xdr:grpSp>
                <xdr:nvGrpSpPr>
                  <xdr:cNvPr id="192" name="Group 191">
                    <a:extLst>
                      <a:ext uri="{FF2B5EF4-FFF2-40B4-BE49-F238E27FC236}">
                        <a16:creationId xmlns:a16="http://schemas.microsoft.com/office/drawing/2014/main" id="{03E160EC-A8B2-F6E2-9FF4-BCCC1FA571F3}"/>
                      </a:ext>
                    </a:extLst>
                  </xdr:cNvPr>
                  <xdr:cNvGrpSpPr/>
                </xdr:nvGrpSpPr>
                <xdr:grpSpPr>
                  <a:xfrm>
                    <a:off x="498231" y="2351805"/>
                    <a:ext cx="5060935" cy="3325109"/>
                    <a:chOff x="498231" y="1586063"/>
                    <a:chExt cx="5060935" cy="3325109"/>
                  </a:xfrm>
                </xdr:grpSpPr>
                <xdr:grpSp>
                  <xdr:nvGrpSpPr>
                    <xdr:cNvPr id="198" name="Group 197">
                      <a:extLst>
                        <a:ext uri="{FF2B5EF4-FFF2-40B4-BE49-F238E27FC236}">
                          <a16:creationId xmlns:a16="http://schemas.microsoft.com/office/drawing/2014/main" id="{5BAC9349-1353-56B2-CD0F-D46F9E17FAA5}"/>
                        </a:ext>
                      </a:extLst>
                    </xdr:cNvPr>
                    <xdr:cNvGrpSpPr/>
                  </xdr:nvGrpSpPr>
                  <xdr:grpSpPr>
                    <a:xfrm>
                      <a:off x="1152525" y="2216394"/>
                      <a:ext cx="2476500" cy="2305050"/>
                      <a:chOff x="1152525" y="2216394"/>
                      <a:chExt cx="2476500" cy="2212098"/>
                    </a:xfrm>
                  </xdr:grpSpPr>
                  <xdr:grpSp>
                    <xdr:nvGrpSpPr>
                      <xdr:cNvPr id="232" name="Group 231">
                        <a:extLst>
                          <a:ext uri="{FF2B5EF4-FFF2-40B4-BE49-F238E27FC236}">
                            <a16:creationId xmlns:a16="http://schemas.microsoft.com/office/drawing/2014/main" id="{BADD6BF6-E553-9911-FD94-E4360463062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152525" y="2216394"/>
                        <a:ext cx="2476500" cy="2212098"/>
                        <a:chOff x="1152525" y="2219325"/>
                        <a:chExt cx="2476500" cy="2212098"/>
                      </a:xfrm>
                    </xdr:grpSpPr>
                    <xdr:sp macro="" textlink="">
                      <xdr:nvSpPr>
                        <xdr:cNvPr id="237" name="Rectangle 236">
                          <a:extLst>
                            <a:ext uri="{FF2B5EF4-FFF2-40B4-BE49-F238E27FC236}">
                              <a16:creationId xmlns:a16="http://schemas.microsoft.com/office/drawing/2014/main" id="{1E2976D1-D4A6-BE6A-A913-9811214B348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152525" y="2219325"/>
                          <a:ext cx="2476500" cy="2212098"/>
                        </a:xfrm>
                        <a:prstGeom prst="rect">
                          <a:avLst/>
                        </a:prstGeom>
                        <a:solidFill>
                          <a:schemeClr val="bg1">
                            <a:lumMod val="85000"/>
                          </a:schemeClr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IN" sz="1100"/>
                        </a:p>
                      </xdr:txBody>
                    </xdr:sp>
                    <xdr:grpSp>
                      <xdr:nvGrpSpPr>
                        <xdr:cNvPr id="238" name="Group 237">
                          <a:extLst>
                            <a:ext uri="{FF2B5EF4-FFF2-40B4-BE49-F238E27FC236}">
                              <a16:creationId xmlns:a16="http://schemas.microsoft.com/office/drawing/2014/main" id="{BBE96DB7-624C-642A-FAAE-8C9AF5B18E28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524000" y="2533650"/>
                          <a:ext cx="1695450" cy="1600200"/>
                          <a:chOff x="1524000" y="2533650"/>
                          <a:chExt cx="1695450" cy="1600200"/>
                        </a:xfrm>
                      </xdr:grpSpPr>
                      <xdr:sp macro="" textlink="">
                        <xdr:nvSpPr>
                          <xdr:cNvPr id="239" name="Rectangle 238">
                            <a:extLst>
                              <a:ext uri="{FF2B5EF4-FFF2-40B4-BE49-F238E27FC236}">
                                <a16:creationId xmlns:a16="http://schemas.microsoft.com/office/drawing/2014/main" id="{246E44EB-E931-C395-9FBD-7211EFDF9FE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524000" y="2533650"/>
                            <a:ext cx="1695450" cy="209550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dk1">
                              <a:shade val="15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IN" sz="1100"/>
                          </a:p>
                        </xdr:txBody>
                      </xdr:sp>
                      <xdr:sp macro="" textlink="">
                        <xdr:nvSpPr>
                          <xdr:cNvPr id="240" name="Rectangle 239">
                            <a:extLst>
                              <a:ext uri="{FF2B5EF4-FFF2-40B4-BE49-F238E27FC236}">
                                <a16:creationId xmlns:a16="http://schemas.microsoft.com/office/drawing/2014/main" id="{C6F31A67-6B53-316F-300B-2866DC2070BE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524000" y="3924300"/>
                            <a:ext cx="1695450" cy="209550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dk1">
                              <a:shade val="15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IN" sz="1100"/>
                          </a:p>
                        </xdr:txBody>
                      </xdr:sp>
                      <xdr:sp macro="" textlink="">
                        <xdr:nvSpPr>
                          <xdr:cNvPr id="241" name="Rectangle 240">
                            <a:extLst>
                              <a:ext uri="{FF2B5EF4-FFF2-40B4-BE49-F238E27FC236}">
                                <a16:creationId xmlns:a16="http://schemas.microsoft.com/office/drawing/2014/main" id="{FFCA58AF-EDC5-8B10-B368-7DD55F301FC9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54703" y="2752726"/>
                            <a:ext cx="217714" cy="1177018"/>
                          </a:xfrm>
                          <a:prstGeom prst="rect">
                            <a:avLst/>
                          </a:prstGeom>
                        </xdr:spPr>
                        <xdr:style>
                          <a:lnRef idx="2">
                            <a:schemeClr val="dk1">
                              <a:shade val="15000"/>
                            </a:schemeClr>
                          </a:lnRef>
                          <a:fillRef idx="1">
                            <a:schemeClr val="dk1"/>
                          </a:fillRef>
                          <a:effectRef idx="0">
                            <a:schemeClr val="dk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IN" sz="1100"/>
                          </a:p>
                        </xdr:txBody>
                      </xdr:sp>
                    </xdr:grpSp>
                  </xdr:grpSp>
                  <xdr:sp macro="" textlink="">
                    <xdr:nvSpPr>
                      <xdr:cNvPr id="233" name="Oval 232">
                        <a:extLst>
                          <a:ext uri="{FF2B5EF4-FFF2-40B4-BE49-F238E27FC236}">
                            <a16:creationId xmlns:a16="http://schemas.microsoft.com/office/drawing/2014/main" id="{1B336F7C-163F-746C-8A52-119E4D12F49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280948" y="2319855"/>
                        <a:ext cx="90758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  <xdr:sp macro="" textlink="">
                    <xdr:nvSpPr>
                      <xdr:cNvPr id="234" name="Oval 233">
                        <a:extLst>
                          <a:ext uri="{FF2B5EF4-FFF2-40B4-BE49-F238E27FC236}">
                            <a16:creationId xmlns:a16="http://schemas.microsoft.com/office/drawing/2014/main" id="{548C840D-7677-FEA1-1763-5D7BC0769C7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369879" y="2319855"/>
                        <a:ext cx="90000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  <xdr:sp macro="" textlink="">
                    <xdr:nvSpPr>
                      <xdr:cNvPr id="235" name="Oval 234">
                        <a:extLst>
                          <a:ext uri="{FF2B5EF4-FFF2-40B4-BE49-F238E27FC236}">
                            <a16:creationId xmlns:a16="http://schemas.microsoft.com/office/drawing/2014/main" id="{FB1E5143-85C3-AC45-1504-CA973022611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280948" y="4193157"/>
                        <a:ext cx="90758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  <xdr:sp macro="" textlink="">
                    <xdr:nvSpPr>
                      <xdr:cNvPr id="236" name="Oval 235">
                        <a:extLst>
                          <a:ext uri="{FF2B5EF4-FFF2-40B4-BE49-F238E27FC236}">
                            <a16:creationId xmlns:a16="http://schemas.microsoft.com/office/drawing/2014/main" id="{90279BE4-D3F8-56D2-EC02-61FB32744F0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369879" y="4193157"/>
                        <a:ext cx="90000" cy="90000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>
                          <a:shade val="15000"/>
                        </a:schemeClr>
                      </a:lnRef>
                      <a:fillRef idx="1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IN" sz="1100"/>
                      </a:p>
                    </xdr:txBody>
                  </xdr:sp>
                </xdr:grpSp>
                <xdr:grpSp>
                  <xdr:nvGrpSpPr>
                    <xdr:cNvPr id="199" name="Group 198">
                      <a:extLst>
                        <a:ext uri="{FF2B5EF4-FFF2-40B4-BE49-F238E27FC236}">
                          <a16:creationId xmlns:a16="http://schemas.microsoft.com/office/drawing/2014/main" id="{105522D5-52C3-11AC-D60E-8B5E2B2EED65}"/>
                        </a:ext>
                      </a:extLst>
                    </xdr:cNvPr>
                    <xdr:cNvGrpSpPr/>
                  </xdr:nvGrpSpPr>
                  <xdr:grpSpPr>
                    <a:xfrm>
                      <a:off x="498231" y="1586063"/>
                      <a:ext cx="5060935" cy="3325109"/>
                      <a:chOff x="498231" y="1586063"/>
                      <a:chExt cx="5060935" cy="3325109"/>
                    </a:xfrm>
                  </xdr:grpSpPr>
                  <xdr:cxnSp macro="">
                    <xdr:nvCxnSpPr>
                      <xdr:cNvPr id="200" name="Straight Connector 199">
                        <a:extLst>
                          <a:ext uri="{FF2B5EF4-FFF2-40B4-BE49-F238E27FC236}">
                            <a16:creationId xmlns:a16="http://schemas.microsoft.com/office/drawing/2014/main" id="{178EF5C7-56BF-5F1F-32B9-61A44005BAE5}"/>
                          </a:ext>
                        </a:extLst>
                      </xdr:cNvPr>
                      <xdr:cNvCxnSpPr>
                        <a:endCxn id="241" idx="3"/>
                      </xdr:cNvCxnSpPr>
                    </xdr:nvCxnSpPr>
                    <xdr:spPr>
                      <a:xfrm flipV="1">
                        <a:off x="498231" y="3385447"/>
                        <a:ext cx="1915079" cy="0"/>
                      </a:xfrm>
                      <a:prstGeom prst="line">
                        <a:avLst/>
                      </a:prstGeom>
                      <a:ln>
                        <a:prstDash val="dashDot"/>
                        <a:headEnd type="triangle"/>
                      </a:ln>
                    </xdr:spPr>
                    <xdr:style>
                      <a:lnRef idx="3">
                        <a:schemeClr val="dk1"/>
                      </a:lnRef>
                      <a:fillRef idx="0">
                        <a:schemeClr val="dk1"/>
                      </a:fillRef>
                      <a:effectRef idx="2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1" name="Straight Arrow Connector 200">
                        <a:extLst>
                          <a:ext uri="{FF2B5EF4-FFF2-40B4-BE49-F238E27FC236}">
                            <a16:creationId xmlns:a16="http://schemas.microsoft.com/office/drawing/2014/main" id="{EB3EF50C-7B7B-300F-9C63-C489938B7AD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849923" y="2344615"/>
                        <a:ext cx="0" cy="996462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2" name="Straight Connector 201">
                        <a:extLst>
                          <a:ext uri="{FF2B5EF4-FFF2-40B4-BE49-F238E27FC236}">
                            <a16:creationId xmlns:a16="http://schemas.microsoft.com/office/drawing/2014/main" id="{C6293731-8FE1-9315-ECC7-17A3341B9BEB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34865" y="2351942"/>
                        <a:ext cx="498231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3" name="Straight Connector 202">
                        <a:extLst>
                          <a:ext uri="{FF2B5EF4-FFF2-40B4-BE49-F238E27FC236}">
                            <a16:creationId xmlns:a16="http://schemas.microsoft.com/office/drawing/2014/main" id="{9F5531C6-F095-5E67-5775-C825A3911252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34865" y="4293577"/>
                        <a:ext cx="498231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4" name="Straight Arrow Connector 203">
                        <a:extLst>
                          <a:ext uri="{FF2B5EF4-FFF2-40B4-BE49-F238E27FC236}">
                            <a16:creationId xmlns:a16="http://schemas.microsoft.com/office/drawing/2014/main" id="{329A1B4D-C84D-6F95-558C-EF4F03022481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849923" y="3429000"/>
                        <a:ext cx="0" cy="85725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5" name="Straight Arrow Connector 204">
                        <a:extLst>
                          <a:ext uri="{FF2B5EF4-FFF2-40B4-BE49-F238E27FC236}">
                            <a16:creationId xmlns:a16="http://schemas.microsoft.com/office/drawing/2014/main" id="{1EAB256A-C51C-37A3-F75C-DAD6DF256598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64248" y="1740877"/>
                        <a:ext cx="2464777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6" name="Straight Arrow Connector 205">
                        <a:extLst>
                          <a:ext uri="{FF2B5EF4-FFF2-40B4-BE49-F238E27FC236}">
                            <a16:creationId xmlns:a16="http://schemas.microsoft.com/office/drawing/2014/main" id="{F7C516BD-3F17-D042-D21E-A6255E78115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64248" y="2055202"/>
                        <a:ext cx="39785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7" name="Straight Arrow Connector 206">
                        <a:extLst>
                          <a:ext uri="{FF2B5EF4-FFF2-40B4-BE49-F238E27FC236}">
                            <a16:creationId xmlns:a16="http://schemas.microsoft.com/office/drawing/2014/main" id="{BBF33D5B-65A5-BD12-1CD0-7111A43B79F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212123" y="2055202"/>
                        <a:ext cx="39785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8" name="Straight Arrow Connector 207">
                        <a:extLst>
                          <a:ext uri="{FF2B5EF4-FFF2-40B4-BE49-F238E27FC236}">
                            <a16:creationId xmlns:a16="http://schemas.microsoft.com/office/drawing/2014/main" id="{540F6901-A328-3483-443E-7CCC70431BDA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573823" y="2055202"/>
                        <a:ext cx="161705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9" name="Straight Connector 208">
                        <a:extLst>
                          <a:ext uri="{FF2B5EF4-FFF2-40B4-BE49-F238E27FC236}">
                            <a16:creationId xmlns:a16="http://schemas.microsoft.com/office/drawing/2014/main" id="{AC3FBD4C-2049-4A4D-EFCD-9BFDD997C82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53990" y="1685192"/>
                        <a:ext cx="0" cy="483577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0" name="Straight Connector 209">
                        <a:extLst>
                          <a:ext uri="{FF2B5EF4-FFF2-40B4-BE49-F238E27FC236}">
                            <a16:creationId xmlns:a16="http://schemas.microsoft.com/office/drawing/2014/main" id="{DA2F5794-0688-0D4E-A71D-AA124E8A12D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630490" y="1685192"/>
                        <a:ext cx="0" cy="483577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1" name="Straight Connector 210">
                        <a:extLst>
                          <a:ext uri="{FF2B5EF4-FFF2-40B4-BE49-F238E27FC236}">
                            <a16:creationId xmlns:a16="http://schemas.microsoft.com/office/drawing/2014/main" id="{766538D7-DAD5-C986-75C0-72EE903EF642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563565" y="1854444"/>
                        <a:ext cx="0" cy="314325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2" name="Straight Connector 211">
                        <a:extLst>
                          <a:ext uri="{FF2B5EF4-FFF2-40B4-BE49-F238E27FC236}">
                            <a16:creationId xmlns:a16="http://schemas.microsoft.com/office/drawing/2014/main" id="{11F6ABE5-38BB-E2D0-93FB-71F6052B0083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402140" y="2235444"/>
                        <a:ext cx="0" cy="2286000"/>
                      </a:xfrm>
                      <a:prstGeom prst="line">
                        <a:avLst/>
                      </a:prstGeom>
                      <a:ln w="44450"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3" name="Straight Arrow Connector 212">
                        <a:extLst>
                          <a:ext uri="{FF2B5EF4-FFF2-40B4-BE49-F238E27FC236}">
                            <a16:creationId xmlns:a16="http://schemas.microsoft.com/office/drawing/2014/main" id="{55BF1B0B-EA84-72F0-EFDE-FE0997ABC5AF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3907448" y="2540244"/>
                        <a:ext cx="0" cy="1647825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4" name="Straight Arrow Connector 213">
                        <a:extLst>
                          <a:ext uri="{FF2B5EF4-FFF2-40B4-BE49-F238E27FC236}">
                            <a16:creationId xmlns:a16="http://schemas.microsoft.com/office/drawing/2014/main" id="{110ADAEA-4B54-9DCD-88CC-ED1404C98DFD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3907448" y="2206869"/>
                        <a:ext cx="0" cy="34290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5" name="Straight Arrow Connector 214">
                        <a:extLst>
                          <a:ext uri="{FF2B5EF4-FFF2-40B4-BE49-F238E27FC236}">
                            <a16:creationId xmlns:a16="http://schemas.microsoft.com/office/drawing/2014/main" id="{CF01F6A5-D598-81DE-EBEB-125E23CAE279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3907448" y="4188069"/>
                        <a:ext cx="0" cy="34290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6" name="Straight Connector 215">
                        <a:extLst>
                          <a:ext uri="{FF2B5EF4-FFF2-40B4-BE49-F238E27FC236}">
                            <a16:creationId xmlns:a16="http://schemas.microsoft.com/office/drawing/2014/main" id="{CA4BAA71-170E-8E77-79B5-C7009A7F1DC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2206869"/>
                        <a:ext cx="770060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7" name="Straight Connector 216">
                        <a:extLst>
                          <a:ext uri="{FF2B5EF4-FFF2-40B4-BE49-F238E27FC236}">
                            <a16:creationId xmlns:a16="http://schemas.microsoft.com/office/drawing/2014/main" id="{64FD0BB7-8404-D1EC-C56D-9A3B54008F6E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4521444"/>
                        <a:ext cx="798635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8" name="Straight Connector 217">
                        <a:extLst>
                          <a:ext uri="{FF2B5EF4-FFF2-40B4-BE49-F238E27FC236}">
                            <a16:creationId xmlns:a16="http://schemas.microsoft.com/office/drawing/2014/main" id="{B424F215-5E2F-D764-0FB6-4875DD1F73D8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4188069"/>
                        <a:ext cx="360000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19" name="Straight Connector 218">
                        <a:extLst>
                          <a:ext uri="{FF2B5EF4-FFF2-40B4-BE49-F238E27FC236}">
                            <a16:creationId xmlns:a16="http://schemas.microsoft.com/office/drawing/2014/main" id="{69D7EABC-85EB-AAA0-66B5-192B72BBF764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3716215" y="2540244"/>
                        <a:ext cx="360000" cy="0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0" name="Straight Arrow Connector 219">
                        <a:extLst>
                          <a:ext uri="{FF2B5EF4-FFF2-40B4-BE49-F238E27FC236}">
                            <a16:creationId xmlns:a16="http://schemas.microsoft.com/office/drawing/2014/main" id="{20FA91E3-CB26-E305-1DDF-EB80111A6D22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316648" y="4705350"/>
                        <a:ext cx="1026502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1" name="Straight Arrow Connector 220">
                        <a:extLst>
                          <a:ext uri="{FF2B5EF4-FFF2-40B4-BE49-F238E27FC236}">
                            <a16:creationId xmlns:a16="http://schemas.microsoft.com/office/drawing/2014/main" id="{756927EE-C944-554F-005B-A32C0122FD2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412023" y="4705350"/>
                        <a:ext cx="997927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2" name="Straight Connector 221">
                        <a:extLst>
                          <a:ext uri="{FF2B5EF4-FFF2-40B4-BE49-F238E27FC236}">
                            <a16:creationId xmlns:a16="http://schemas.microsoft.com/office/drawing/2014/main" id="{6BA0E6FC-75E3-CB9A-67CB-11FFD407FB46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2374656" y="3471172"/>
                        <a:ext cx="0" cy="1440000"/>
                      </a:xfrm>
                      <a:prstGeom prst="line">
                        <a:avLst/>
                      </a:prstGeom>
                      <a:ln>
                        <a:prstDash val="dashDot"/>
                        <a:headEnd type="triangle"/>
                      </a:ln>
                    </xdr:spPr>
                    <xdr:style>
                      <a:lnRef idx="3">
                        <a:schemeClr val="dk1"/>
                      </a:lnRef>
                      <a:fillRef idx="0">
                        <a:schemeClr val="dk1"/>
                      </a:fillRef>
                      <a:effectRef idx="2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3" name="Straight Connector 222">
                        <a:extLst>
                          <a:ext uri="{FF2B5EF4-FFF2-40B4-BE49-F238E27FC236}">
                            <a16:creationId xmlns:a16="http://schemas.microsoft.com/office/drawing/2014/main" id="{6E626D67-7290-CE7F-F993-8B5DB919DF30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1309321" y="4521444"/>
                        <a:ext cx="0" cy="364148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4" name="Straight Connector 223">
                        <a:extLst>
                          <a:ext uri="{FF2B5EF4-FFF2-40B4-BE49-F238E27FC236}">
                            <a16:creationId xmlns:a16="http://schemas.microsoft.com/office/drawing/2014/main" id="{ED5FF233-FADB-1A49-A12E-2099292881E8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3423871" y="4521444"/>
                        <a:ext cx="0" cy="364148"/>
                      </a:xfrm>
                      <a:prstGeom prst="line">
                        <a:avLst/>
                      </a:prstGeom>
                      <a:ln>
                        <a:solidFill>
                          <a:sysClr val="windowText" lastClr="000000"/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5" name="Straight Arrow Connector 224">
                        <a:extLst>
                          <a:ext uri="{FF2B5EF4-FFF2-40B4-BE49-F238E27FC236}">
                            <a16:creationId xmlns:a16="http://schemas.microsoft.com/office/drawing/2014/main" id="{C3F7F691-6838-C78E-97AC-111FD9A86DC6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4393223" y="2216394"/>
                        <a:ext cx="0" cy="230505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6" name="Straight Arrow Connector 225">
                        <a:extLst>
                          <a:ext uri="{FF2B5EF4-FFF2-40B4-BE49-F238E27FC236}">
                            <a16:creationId xmlns:a16="http://schemas.microsoft.com/office/drawing/2014/main" id="{7E042DF0-C746-41A0-3719-D26F7FBBA4D6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5559166" y="2216394"/>
                        <a:ext cx="0" cy="230505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7" name="Straight Arrow Connector 226">
                        <a:extLst>
                          <a:ext uri="{FF2B5EF4-FFF2-40B4-BE49-F238E27FC236}">
                            <a16:creationId xmlns:a16="http://schemas.microsoft.com/office/drawing/2014/main" id="{155FD410-D369-8298-50C3-0EB6356FB43F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5402312" y="1586063"/>
                        <a:ext cx="0" cy="548528"/>
                      </a:xfrm>
                      <a:prstGeom prst="straightConnector1">
                        <a:avLst/>
                      </a:prstGeom>
                      <a:ln w="25400">
                        <a:solidFill>
                          <a:sysClr val="windowText" lastClr="000000"/>
                        </a:solidFill>
                        <a:headEnd type="triangle"/>
                        <a:tailEnd type="non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8" name="Straight Arrow Connector 227">
                        <a:extLst>
                          <a:ext uri="{FF2B5EF4-FFF2-40B4-BE49-F238E27FC236}">
                            <a16:creationId xmlns:a16="http://schemas.microsoft.com/office/drawing/2014/main" id="{F56646C4-DE81-2190-4D5A-AC24B8B6CC16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2768639" y="2792740"/>
                        <a:ext cx="0" cy="38326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29" name="Straight Arrow Connector 228">
                        <a:extLst>
                          <a:ext uri="{FF2B5EF4-FFF2-40B4-BE49-F238E27FC236}">
                            <a16:creationId xmlns:a16="http://schemas.microsoft.com/office/drawing/2014/main" id="{6E605FB8-0556-4990-56AC-414CE21E21D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768639" y="2188293"/>
                        <a:ext cx="0" cy="337097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30" name="Straight Arrow Connector 229">
                        <a:extLst>
                          <a:ext uri="{FF2B5EF4-FFF2-40B4-BE49-F238E27FC236}">
                            <a16:creationId xmlns:a16="http://schemas.microsoft.com/office/drawing/2014/main" id="{4667D7EE-2E1E-1A4C-F625-D98B28FBBC20}"/>
                          </a:ext>
                        </a:extLst>
                      </xdr:cNvPr>
                      <xdr:cNvCxnSpPr/>
                    </xdr:nvCxnSpPr>
                    <xdr:spPr>
                      <a:xfrm flipH="1" flipV="1">
                        <a:off x="2509163" y="3758167"/>
                        <a:ext cx="294137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31" name="Straight Arrow Connector 230">
                        <a:extLst>
                          <a:ext uri="{FF2B5EF4-FFF2-40B4-BE49-F238E27FC236}">
                            <a16:creationId xmlns:a16="http://schemas.microsoft.com/office/drawing/2014/main" id="{8A4EB9BE-D00A-0769-BF51-0D070659225B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931174" y="3758167"/>
                        <a:ext cx="304098" cy="0"/>
                      </a:xfrm>
                      <a:prstGeom prst="straightConnector1">
                        <a:avLst/>
                      </a:prstGeom>
                      <a:ln>
                        <a:solidFill>
                          <a:sysClr val="windowText" lastClr="000000"/>
                        </a:solidFill>
                        <a:headEnd type="none"/>
                        <a:tailEnd type="triangle"/>
                      </a:ln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</xdr:grpSp>
              <xdr:grpSp>
                <xdr:nvGrpSpPr>
                  <xdr:cNvPr id="193" name="Group 192">
                    <a:extLst>
                      <a:ext uri="{FF2B5EF4-FFF2-40B4-BE49-F238E27FC236}">
                        <a16:creationId xmlns:a16="http://schemas.microsoft.com/office/drawing/2014/main" id="{31BC4BD8-B6FD-5FA5-9894-54F84963DE99}"/>
                      </a:ext>
                    </a:extLst>
                  </xdr:cNvPr>
                  <xdr:cNvGrpSpPr/>
                </xdr:nvGrpSpPr>
                <xdr:grpSpPr>
                  <a:xfrm>
                    <a:off x="5085925" y="2929313"/>
                    <a:ext cx="409010" cy="2540190"/>
                    <a:chOff x="5085925" y="2929313"/>
                    <a:chExt cx="409010" cy="2540190"/>
                  </a:xfrm>
                </xdr:grpSpPr>
                <xdr:sp macro="" textlink="">
                  <xdr:nvSpPr>
                    <xdr:cNvPr id="194" name="Isosceles Triangle 193">
                      <a:extLst>
                        <a:ext uri="{FF2B5EF4-FFF2-40B4-BE49-F238E27FC236}">
                          <a16:creationId xmlns:a16="http://schemas.microsoft.com/office/drawing/2014/main" id="{57E748B2-F029-5F38-A6B2-5C3B70B6C634}"/>
                        </a:ext>
                      </a:extLst>
                    </xdr:cNvPr>
                    <xdr:cNvSpPr/>
                  </xdr:nvSpPr>
                  <xdr:spPr>
                    <a:xfrm rot="5400000">
                      <a:off x="5185234" y="2936732"/>
                      <a:ext cx="180000" cy="181920"/>
                    </a:xfrm>
                    <a:prstGeom prst="triangle">
                      <a:avLst>
                        <a:gd name="adj" fmla="val 47227"/>
                      </a:avLst>
                    </a:prstGeom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195" name="Oval 194">
                      <a:extLst>
                        <a:ext uri="{FF2B5EF4-FFF2-40B4-BE49-F238E27FC236}">
                          <a16:creationId xmlns:a16="http://schemas.microsoft.com/office/drawing/2014/main" id="{353FC8A8-93E4-C73C-2B67-8B981975D9BB}"/>
                        </a:ext>
                      </a:extLst>
                    </xdr:cNvPr>
                    <xdr:cNvSpPr/>
                  </xdr:nvSpPr>
                  <xdr:spPr>
                    <a:xfrm>
                      <a:off x="5085925" y="2929313"/>
                      <a:ext cx="72000" cy="72000"/>
                    </a:xfrm>
                    <a:prstGeom prst="ellipse">
                      <a:avLst/>
                    </a:prstGeom>
                    <a:ln w="635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196" name="Oval 195">
                      <a:extLst>
                        <a:ext uri="{FF2B5EF4-FFF2-40B4-BE49-F238E27FC236}">
                          <a16:creationId xmlns:a16="http://schemas.microsoft.com/office/drawing/2014/main" id="{837C2D7D-C04B-F2B1-7FBA-E13D4BA356B1}"/>
                        </a:ext>
                      </a:extLst>
                    </xdr:cNvPr>
                    <xdr:cNvSpPr/>
                  </xdr:nvSpPr>
                  <xdr:spPr>
                    <a:xfrm>
                      <a:off x="5085925" y="3061592"/>
                      <a:ext cx="72000" cy="72000"/>
                    </a:xfrm>
                    <a:prstGeom prst="ellipse">
                      <a:avLst/>
                    </a:prstGeom>
                    <a:ln w="635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197" name="Isosceles Triangle 196">
                      <a:extLst>
                        <a:ext uri="{FF2B5EF4-FFF2-40B4-BE49-F238E27FC236}">
                          <a16:creationId xmlns:a16="http://schemas.microsoft.com/office/drawing/2014/main" id="{A29D24AD-EA65-0DB8-77AF-F56A642348E0}"/>
                        </a:ext>
                      </a:extLst>
                    </xdr:cNvPr>
                    <xdr:cNvSpPr/>
                  </xdr:nvSpPr>
                  <xdr:spPr>
                    <a:xfrm>
                      <a:off x="5314935" y="5287583"/>
                      <a:ext cx="180000" cy="181920"/>
                    </a:xfrm>
                    <a:prstGeom prst="triangle">
                      <a:avLst>
                        <a:gd name="adj" fmla="val 47227"/>
                      </a:avLst>
                    </a:prstGeom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  <xdr:sp macro="" textlink="">
              <xdr:nvSpPr>
                <xdr:cNvPr id="191" name="Rectangle 190">
                  <a:extLst>
                    <a:ext uri="{FF2B5EF4-FFF2-40B4-BE49-F238E27FC236}">
                      <a16:creationId xmlns:a16="http://schemas.microsoft.com/office/drawing/2014/main" id="{3F801455-59E7-893B-9DC8-32E2D5FF7CCB}"/>
                    </a:ext>
                  </a:extLst>
                </xdr:cNvPr>
                <xdr:cNvSpPr/>
              </xdr:nvSpPr>
              <xdr:spPr>
                <a:xfrm>
                  <a:off x="5312009" y="5469637"/>
                  <a:ext cx="191027" cy="59941"/>
                </a:xfrm>
                <a:prstGeom prst="rect">
                  <a:avLst/>
                </a:prstGeom>
                <a:pattFill prst="wdUpDiag">
                  <a:fgClr>
                    <a:schemeClr val="tx1"/>
                  </a:fgClr>
                  <a:bgClr>
                    <a:schemeClr val="bg1"/>
                  </a:bgClr>
                </a:patt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</xdr:grpSp>
          <xdr:sp macro="" textlink="">
            <xdr:nvSpPr>
              <xdr:cNvPr id="189" name="Arc 188">
                <a:extLst>
                  <a:ext uri="{FF2B5EF4-FFF2-40B4-BE49-F238E27FC236}">
                    <a16:creationId xmlns:a16="http://schemas.microsoft.com/office/drawing/2014/main" id="{626B009A-CD0C-1822-BAC4-55DEE5EAE7A0}"/>
                  </a:ext>
                </a:extLst>
              </xdr:cNvPr>
              <xdr:cNvSpPr/>
            </xdr:nvSpPr>
            <xdr:spPr>
              <a:xfrm>
                <a:off x="5020236" y="2622176"/>
                <a:ext cx="720000" cy="720000"/>
              </a:xfrm>
              <a:prstGeom prst="arc">
                <a:avLst>
                  <a:gd name="adj1" fmla="val 11433657"/>
                  <a:gd name="adj2" fmla="val 227838"/>
                </a:avLst>
              </a:prstGeom>
              <a:ln w="22225">
                <a:solidFill>
                  <a:schemeClr val="tx1"/>
                </a:solidFill>
                <a:headEnd type="non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</xdr:grpSp>
        <xdr:sp macro="" textlink="$S$16">
          <xdr:nvSpPr>
            <xdr:cNvPr id="167" name="TextBox 166">
              <a:extLst>
                <a:ext uri="{FF2B5EF4-FFF2-40B4-BE49-F238E27FC236}">
                  <a16:creationId xmlns:a16="http://schemas.microsoft.com/office/drawing/2014/main" id="{9D4FCF54-F569-D649-797C-91D45FC489D3}"/>
                </a:ext>
              </a:extLst>
            </xdr:cNvPr>
            <xdr:cNvSpPr txBox="1"/>
          </xdr:nvSpPr>
          <xdr:spPr>
            <a:xfrm>
              <a:off x="5549437" y="4020325"/>
              <a:ext cx="43914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A4B73124-1490-4C58-B0EA-B08F748153A3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7.0</a:t>
              </a:fld>
              <a:endParaRPr lang="en-IN" sz="1100"/>
            </a:p>
          </xdr:txBody>
        </xdr:sp>
        <xdr:sp macro="" textlink="$S$12">
          <xdr:nvSpPr>
            <xdr:cNvPr id="168" name="TextBox 167">
              <a:extLst>
                <a:ext uri="{FF2B5EF4-FFF2-40B4-BE49-F238E27FC236}">
                  <a16:creationId xmlns:a16="http://schemas.microsoft.com/office/drawing/2014/main" id="{9206255F-CCF5-CC83-E75D-EA541E6067A6}"/>
                </a:ext>
              </a:extLst>
            </xdr:cNvPr>
            <xdr:cNvSpPr txBox="1"/>
          </xdr:nvSpPr>
          <xdr:spPr>
            <a:xfrm>
              <a:off x="4384085" y="4020325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2DA55378-FC8E-47B3-A018-C10ADB666B75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400</a:t>
              </a:fld>
              <a:endParaRPr lang="en-IN" sz="1100"/>
            </a:p>
          </xdr:txBody>
        </xdr:sp>
        <xdr:sp macro="" textlink="$S$14">
          <xdr:nvSpPr>
            <xdr:cNvPr id="169" name="TextBox 168">
              <a:extLst>
                <a:ext uri="{FF2B5EF4-FFF2-40B4-BE49-F238E27FC236}">
                  <a16:creationId xmlns:a16="http://schemas.microsoft.com/office/drawing/2014/main" id="{CF9D2B73-B5DE-3EDF-690B-1261E1F798E9}"/>
                </a:ext>
              </a:extLst>
            </xdr:cNvPr>
            <xdr:cNvSpPr txBox="1"/>
          </xdr:nvSpPr>
          <xdr:spPr>
            <a:xfrm>
              <a:off x="3840151" y="3985909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52C371C-4D0B-445C-B04B-0708A686B8E1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260</a:t>
              </a:fld>
              <a:endParaRPr lang="en-IN" sz="1100"/>
            </a:p>
          </xdr:txBody>
        </xdr:sp>
        <xdr:sp macro="" textlink="$S$24">
          <xdr:nvSpPr>
            <xdr:cNvPr id="170" name="TextBox 169">
              <a:extLst>
                <a:ext uri="{FF2B5EF4-FFF2-40B4-BE49-F238E27FC236}">
                  <a16:creationId xmlns:a16="http://schemas.microsoft.com/office/drawing/2014/main" id="{0C4B7EF3-5F9D-C7B1-B119-42ACFE524D0A}"/>
                </a:ext>
              </a:extLst>
            </xdr:cNvPr>
            <xdr:cNvSpPr txBox="1"/>
          </xdr:nvSpPr>
          <xdr:spPr>
            <a:xfrm>
              <a:off x="3886922" y="2947287"/>
              <a:ext cx="481010" cy="326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401349AF-58B5-45D3-A9DA-2264C1D78E5B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70</a:t>
              </a:fld>
              <a:endParaRPr lang="en-IN" sz="1100"/>
            </a:p>
          </xdr:txBody>
        </xdr:sp>
        <xdr:sp macro="" textlink="$S$24">
          <xdr:nvSpPr>
            <xdr:cNvPr id="171" name="TextBox 170">
              <a:extLst>
                <a:ext uri="{FF2B5EF4-FFF2-40B4-BE49-F238E27FC236}">
                  <a16:creationId xmlns:a16="http://schemas.microsoft.com/office/drawing/2014/main" id="{41DCF4A5-2545-1B54-BA77-07E5A3068D45}"/>
                </a:ext>
              </a:extLst>
            </xdr:cNvPr>
            <xdr:cNvSpPr txBox="1"/>
          </xdr:nvSpPr>
          <xdr:spPr>
            <a:xfrm>
              <a:off x="3873559" y="4922082"/>
              <a:ext cx="481010" cy="326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6A2F6F8-6C6F-4C9A-9868-11E10011C34D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70</a:t>
              </a:fld>
              <a:endParaRPr lang="en-IN" sz="1100"/>
            </a:p>
          </xdr:txBody>
        </xdr:sp>
        <xdr:sp macro="" textlink="$S$20">
          <xdr:nvSpPr>
            <xdr:cNvPr id="172" name="TextBox 171">
              <a:extLst>
                <a:ext uri="{FF2B5EF4-FFF2-40B4-BE49-F238E27FC236}">
                  <a16:creationId xmlns:a16="http://schemas.microsoft.com/office/drawing/2014/main" id="{37D548C2-65BC-D3F5-730E-5335E6446472}"/>
                </a:ext>
              </a:extLst>
            </xdr:cNvPr>
            <xdr:cNvSpPr txBox="1"/>
          </xdr:nvSpPr>
          <xdr:spPr>
            <a:xfrm>
              <a:off x="346704" y="4534997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DDFE8EEB-1138-45A4-98A6-CC16ECFDD863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$S$20">
          <xdr:nvSpPr>
            <xdr:cNvPr id="173" name="TextBox 172">
              <a:extLst>
                <a:ext uri="{FF2B5EF4-FFF2-40B4-BE49-F238E27FC236}">
                  <a16:creationId xmlns:a16="http://schemas.microsoft.com/office/drawing/2014/main" id="{7A12F899-9E06-2697-5ABC-12ECB0AF08D4}"/>
                </a:ext>
              </a:extLst>
            </xdr:cNvPr>
            <xdr:cNvSpPr txBox="1"/>
          </xdr:nvSpPr>
          <xdr:spPr>
            <a:xfrm>
              <a:off x="346704" y="3492851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585398FC-4D5F-484F-98AF-BDA8E9FA6491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$S$23">
          <xdr:nvSpPr>
            <xdr:cNvPr id="174" name="TextBox 173">
              <a:extLst>
                <a:ext uri="{FF2B5EF4-FFF2-40B4-BE49-F238E27FC236}">
                  <a16:creationId xmlns:a16="http://schemas.microsoft.com/office/drawing/2014/main" id="{A7E2F501-08A2-AB98-3D68-E2B93A7DF25F}"/>
                </a:ext>
              </a:extLst>
            </xdr:cNvPr>
            <xdr:cNvSpPr txBox="1"/>
          </xdr:nvSpPr>
          <xdr:spPr>
            <a:xfrm>
              <a:off x="1143849" y="2479201"/>
              <a:ext cx="481010" cy="326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146E695F-708D-4706-9578-86307A472E05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72</a:t>
              </a:fld>
              <a:endParaRPr lang="en-IN" sz="1100"/>
            </a:p>
          </xdr:txBody>
        </xdr:sp>
        <xdr:sp macro="" textlink="$S$13">
          <xdr:nvSpPr>
            <xdr:cNvPr id="175" name="TextBox 174">
              <a:extLst>
                <a:ext uri="{FF2B5EF4-FFF2-40B4-BE49-F238E27FC236}">
                  <a16:creationId xmlns:a16="http://schemas.microsoft.com/office/drawing/2014/main" id="{BC5968AD-4B43-4C8C-AF95-DB143B2E0193}"/>
                </a:ext>
              </a:extLst>
            </xdr:cNvPr>
            <xdr:cNvSpPr txBox="1"/>
          </xdr:nvSpPr>
          <xdr:spPr>
            <a:xfrm>
              <a:off x="2232556" y="2541148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DCEFAEDB-E06D-42E9-ADD6-D25DA41E93A8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256</a:t>
              </a:fld>
              <a:endParaRPr lang="en-IN" sz="1100"/>
            </a:p>
          </xdr:txBody>
        </xdr:sp>
        <xdr:sp macro="" textlink="$S$23">
          <xdr:nvSpPr>
            <xdr:cNvPr id="176" name="TextBox 175">
              <a:extLst>
                <a:ext uri="{FF2B5EF4-FFF2-40B4-BE49-F238E27FC236}">
                  <a16:creationId xmlns:a16="http://schemas.microsoft.com/office/drawing/2014/main" id="{43ECF0AB-DFFB-79A7-7A84-81F4841D98FD}"/>
                </a:ext>
              </a:extLst>
            </xdr:cNvPr>
            <xdr:cNvSpPr txBox="1"/>
          </xdr:nvSpPr>
          <xdr:spPr>
            <a:xfrm>
              <a:off x="3187842" y="2479201"/>
              <a:ext cx="481010" cy="326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6067638A-4DAA-473A-BF1D-E84A226F1C82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72</a:t>
              </a:fld>
              <a:endParaRPr lang="en-IN" sz="1100"/>
            </a:p>
          </xdr:txBody>
        </xdr:sp>
        <xdr:sp macro="" textlink="$S$11">
          <xdr:nvSpPr>
            <xdr:cNvPr id="177" name="TextBox 176">
              <a:extLst>
                <a:ext uri="{FF2B5EF4-FFF2-40B4-BE49-F238E27FC236}">
                  <a16:creationId xmlns:a16="http://schemas.microsoft.com/office/drawing/2014/main" id="{0F584FE8-DF3F-2B34-0024-BF33EB8B35F3}"/>
                </a:ext>
              </a:extLst>
            </xdr:cNvPr>
            <xdr:cNvSpPr txBox="1"/>
          </xdr:nvSpPr>
          <xdr:spPr>
            <a:xfrm>
              <a:off x="2232557" y="2216177"/>
              <a:ext cx="479042" cy="326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D0B1AD5A-0412-492F-909A-93857259C0D7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400</a:t>
              </a:fld>
              <a:endParaRPr lang="en-IN" sz="1100"/>
            </a:p>
          </xdr:txBody>
        </xdr:sp>
        <xdr:sp macro="" textlink="$S$19">
          <xdr:nvSpPr>
            <xdr:cNvPr id="178" name="TextBox 177">
              <a:extLst>
                <a:ext uri="{FF2B5EF4-FFF2-40B4-BE49-F238E27FC236}">
                  <a16:creationId xmlns:a16="http://schemas.microsoft.com/office/drawing/2014/main" id="{F0995CF5-40BF-1E62-1D0A-D96EF27A9945}"/>
                </a:ext>
              </a:extLst>
            </xdr:cNvPr>
            <xdr:cNvSpPr txBox="1"/>
          </xdr:nvSpPr>
          <xdr:spPr>
            <a:xfrm>
              <a:off x="2654692" y="5435792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CAA68DD9-A6F3-4B83-91EC-F3FCE6874AEA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$S$19">
          <xdr:nvSpPr>
            <xdr:cNvPr id="179" name="TextBox 178">
              <a:extLst>
                <a:ext uri="{FF2B5EF4-FFF2-40B4-BE49-F238E27FC236}">
                  <a16:creationId xmlns:a16="http://schemas.microsoft.com/office/drawing/2014/main" id="{BFB2F32E-0833-FE8A-B467-AE63C60F7A45}"/>
                </a:ext>
              </a:extLst>
            </xdr:cNvPr>
            <xdr:cNvSpPr txBox="1"/>
          </xdr:nvSpPr>
          <xdr:spPr>
            <a:xfrm>
              <a:off x="1585823" y="5428908"/>
              <a:ext cx="482553" cy="324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F51B86D-3130-4FA0-891C-216783BDD386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159</a:t>
              </a:fld>
              <a:endParaRPr lang="en-IN" sz="1100"/>
            </a:p>
          </xdr:txBody>
        </xdr:sp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02C3FCAB-6698-E8BE-A32C-EB1B803F9407}"/>
                </a:ext>
              </a:extLst>
            </xdr:cNvPr>
            <xdr:cNvSpPr txBox="1"/>
          </xdr:nvSpPr>
          <xdr:spPr>
            <a:xfrm>
              <a:off x="2220567" y="5543024"/>
              <a:ext cx="292857" cy="3741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1800"/>
                <a:t>y</a:t>
              </a:r>
            </a:p>
          </xdr:txBody>
        </xdr:sp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25BB26E0-6E50-7072-716A-E585C32BF9BC}"/>
                </a:ext>
              </a:extLst>
            </xdr:cNvPr>
            <xdr:cNvSpPr txBox="1"/>
          </xdr:nvSpPr>
          <xdr:spPr>
            <a:xfrm>
              <a:off x="5837693" y="4020325"/>
              <a:ext cx="297412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</a:t>
              </a:r>
            </a:p>
          </xdr:txBody>
        </xdr:sp>
        <xdr:sp macro="" textlink="'2. Properties'!D38">
          <xdr:nvSpPr>
            <xdr:cNvPr id="182" name="TextBox 181">
              <a:extLst>
                <a:ext uri="{FF2B5EF4-FFF2-40B4-BE49-F238E27FC236}">
                  <a16:creationId xmlns:a16="http://schemas.microsoft.com/office/drawing/2014/main" id="{6074F885-3B9D-1526-B5AB-ACA531DB84A0}"/>
                </a:ext>
              </a:extLst>
            </xdr:cNvPr>
            <xdr:cNvSpPr txBox="1"/>
          </xdr:nvSpPr>
          <xdr:spPr>
            <a:xfrm>
              <a:off x="2748113" y="3504264"/>
              <a:ext cx="494801" cy="285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8AE3FE1E-ADAB-44F7-B95E-05A09E994594}" type="TxLink">
                <a:rPr lang="en-US" sz="900" b="1" i="0" u="none" strike="noStrike">
                  <a:solidFill>
                    <a:srgbClr val="0000CC"/>
                  </a:solidFill>
                  <a:latin typeface="Arial"/>
                  <a:ea typeface="Calibri"/>
                  <a:cs typeface="Arial"/>
                </a:rPr>
                <a:pPr/>
                <a:t>17.3</a:t>
              </a:fld>
              <a:endParaRPr lang="en-IN" sz="1100"/>
            </a:p>
          </xdr:txBody>
        </xdr:sp>
        <xdr:sp macro="" textlink="'2. Properties'!D39">
          <xdr:nvSpPr>
            <xdr:cNvPr id="183" name="TextBox 182">
              <a:extLst>
                <a:ext uri="{FF2B5EF4-FFF2-40B4-BE49-F238E27FC236}">
                  <a16:creationId xmlns:a16="http://schemas.microsoft.com/office/drawing/2014/main" id="{18081DF3-54D5-9D33-D752-5DC2F0901F4E}"/>
                </a:ext>
              </a:extLst>
            </xdr:cNvPr>
            <xdr:cNvSpPr txBox="1"/>
          </xdr:nvSpPr>
          <xdr:spPr>
            <a:xfrm>
              <a:off x="2488640" y="4194917"/>
              <a:ext cx="494801" cy="285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2717ACE2-8D24-4A43-B66C-2CD1455AB950}" type="TxLink">
                <a:rPr lang="en-US" sz="900" b="1" i="0" u="none" strike="noStrike">
                  <a:solidFill>
                    <a:srgbClr val="0000CC"/>
                  </a:solidFill>
                  <a:latin typeface="Arial"/>
                  <a:ea typeface="Calibri"/>
                  <a:cs typeface="Arial"/>
                </a:rPr>
                <a:pPr/>
                <a:t>10.5</a:t>
              </a:fld>
              <a:endParaRPr lang="en-IN" sz="1100"/>
            </a:p>
          </xdr:txBody>
        </xdr:sp>
        <xdr:sp macro="" textlink="'2. Properties'!D40">
          <xdr:nvSpPr>
            <xdr:cNvPr id="184" name="TextBox 183">
              <a:extLst>
                <a:ext uri="{FF2B5EF4-FFF2-40B4-BE49-F238E27FC236}">
                  <a16:creationId xmlns:a16="http://schemas.microsoft.com/office/drawing/2014/main" id="{1A736501-E1B5-F37D-151E-0D29BB789449}"/>
                </a:ext>
              </a:extLst>
            </xdr:cNvPr>
            <xdr:cNvSpPr txBox="1"/>
          </xdr:nvSpPr>
          <xdr:spPr>
            <a:xfrm>
              <a:off x="3843956" y="5435792"/>
              <a:ext cx="378445" cy="285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1AC592D5-FC43-4C4F-8303-C83AD27FD80E}" type="TxLink">
                <a:rPr lang="en-US" sz="900" b="1" i="0" u="none" strike="noStrike">
                  <a:solidFill>
                    <a:srgbClr val="0000CC"/>
                  </a:solidFill>
                  <a:latin typeface="Arial"/>
                  <a:ea typeface="Calibri"/>
                  <a:cs typeface="Arial"/>
                </a:rPr>
                <a:pPr/>
                <a:t>12</a:t>
              </a:fld>
              <a:endParaRPr lang="en-IN" sz="1100"/>
            </a:p>
          </xdr:txBody>
        </xdr:sp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C3049B50-D279-3DC3-F306-E12D9D26747C}"/>
                </a:ext>
              </a:extLst>
            </xdr:cNvPr>
            <xdr:cNvSpPr txBox="1"/>
          </xdr:nvSpPr>
          <xdr:spPr>
            <a:xfrm>
              <a:off x="4045770" y="5443219"/>
              <a:ext cx="708008" cy="3333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IN" sz="900" b="1" i="0" u="none" strike="noStrike">
                  <a:solidFill>
                    <a:srgbClr val="0000CC"/>
                  </a:solidFill>
                  <a:latin typeface="Arial"/>
                  <a:cs typeface="Arial"/>
                </a:rPr>
                <a:t>M</a:t>
              </a:r>
              <a:r>
                <a:rPr lang="en-IN" sz="900" b="1" i="0" u="none" strike="noStrike" baseline="0">
                  <a:solidFill>
                    <a:srgbClr val="0000CC"/>
                  </a:solidFill>
                  <a:latin typeface="Arial"/>
                  <a:cs typeface="Arial"/>
                </a:rPr>
                <a:t> bar</a:t>
              </a:r>
              <a:endParaRPr lang="en-IN" sz="900" b="1" i="0" u="none" strike="noStrike">
                <a:solidFill>
                  <a:srgbClr val="0000CC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F88EFAEE-2A4F-9B46-BBDB-083321E8C3E1}"/>
                </a:ext>
              </a:extLst>
            </xdr:cNvPr>
            <xdr:cNvSpPr txBox="1"/>
          </xdr:nvSpPr>
          <xdr:spPr>
            <a:xfrm>
              <a:off x="5664709" y="2869238"/>
              <a:ext cx="438910" cy="391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</a:t>
              </a:r>
            </a:p>
          </xdr:txBody>
        </xdr:sp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CE2DB447-B834-C285-1899-B6BF561C1B3F}"/>
                </a:ext>
              </a:extLst>
            </xdr:cNvPr>
            <xdr:cNvSpPr txBox="1"/>
          </xdr:nvSpPr>
          <xdr:spPr>
            <a:xfrm>
              <a:off x="5225041" y="1985502"/>
              <a:ext cx="370322" cy="391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</a:t>
              </a:r>
            </a:p>
          </xdr:txBody>
        </xdr:sp>
      </xdr:grpSp>
      <xdr:sp macro="" textlink="">
        <xdr:nvSpPr>
          <xdr:cNvPr id="164" name="Arc 163">
            <a:extLst>
              <a:ext uri="{FF2B5EF4-FFF2-40B4-BE49-F238E27FC236}">
                <a16:creationId xmlns:a16="http://schemas.microsoft.com/office/drawing/2014/main" id="{3EA78C32-458C-EBD1-E135-953E8653B027}"/>
              </a:ext>
            </a:extLst>
          </xdr:cNvPr>
          <xdr:cNvSpPr/>
        </xdr:nvSpPr>
        <xdr:spPr>
          <a:xfrm>
            <a:off x="2913528" y="5087471"/>
            <a:ext cx="1019737" cy="1064558"/>
          </a:xfrm>
          <a:prstGeom prst="arc">
            <a:avLst>
              <a:gd name="adj1" fmla="val 16200000"/>
              <a:gd name="adj2" fmla="val 21324060"/>
            </a:avLst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1034868</xdr:colOff>
      <xdr:row>51</xdr:row>
      <xdr:rowOff>64131</xdr:rowOff>
    </xdr:from>
    <xdr:to>
      <xdr:col>3</xdr:col>
      <xdr:colOff>169050</xdr:colOff>
      <xdr:row>69</xdr:row>
      <xdr:rowOff>61291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43B1901-430C-7CFB-5A3C-301157744ECA}"/>
            </a:ext>
          </a:extLst>
        </xdr:cNvPr>
        <xdr:cNvGrpSpPr/>
      </xdr:nvGrpSpPr>
      <xdr:grpSpPr>
        <a:xfrm>
          <a:off x="1181406" y="13230612"/>
          <a:ext cx="3508356" cy="3294275"/>
          <a:chOff x="1236253" y="13377360"/>
          <a:chExt cx="3510239" cy="3230217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D65CD89A-026F-47B5-A038-EA1074452834}"/>
              </a:ext>
            </a:extLst>
          </xdr:cNvPr>
          <xdr:cNvGraphicFramePr>
            <a:graphicFrameLocks/>
          </xdr:cNvGraphicFramePr>
        </xdr:nvGraphicFramePr>
        <xdr:xfrm>
          <a:off x="1236253" y="13377360"/>
          <a:ext cx="3510239" cy="32302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F8269636-2769-5411-D5B4-387A9065AD86}"/>
              </a:ext>
            </a:extLst>
          </xdr:cNvPr>
          <xdr:cNvCxnSpPr/>
        </xdr:nvCxnSpPr>
        <xdr:spPr>
          <a:xfrm flipH="1">
            <a:off x="1562101" y="14935200"/>
            <a:ext cx="2411185" cy="0"/>
          </a:xfrm>
          <a:prstGeom prst="line">
            <a:avLst/>
          </a:prstGeom>
          <a:ln w="952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6DC7283A-52C5-D070-7F25-1141D215DE87}"/>
              </a:ext>
            </a:extLst>
          </xdr:cNvPr>
          <xdr:cNvCxnSpPr/>
        </xdr:nvCxnSpPr>
        <xdr:spPr>
          <a:xfrm flipH="1">
            <a:off x="1583872" y="15218229"/>
            <a:ext cx="2569028" cy="0"/>
          </a:xfrm>
          <a:prstGeom prst="line">
            <a:avLst/>
          </a:prstGeom>
          <a:ln w="952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D0D92361-40D4-6AB8-96AB-18DC11861795}"/>
              </a:ext>
            </a:extLst>
          </xdr:cNvPr>
          <xdr:cNvCxnSpPr/>
        </xdr:nvCxnSpPr>
        <xdr:spPr>
          <a:xfrm flipV="1">
            <a:off x="3973286" y="14940643"/>
            <a:ext cx="0" cy="751114"/>
          </a:xfrm>
          <a:prstGeom prst="line">
            <a:avLst/>
          </a:prstGeom>
          <a:ln w="952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7AACCEEB-9B61-EF55-9F09-42C258CFF606}"/>
              </a:ext>
            </a:extLst>
          </xdr:cNvPr>
          <xdr:cNvCxnSpPr/>
        </xdr:nvCxnSpPr>
        <xdr:spPr>
          <a:xfrm flipV="1">
            <a:off x="4158344" y="15212786"/>
            <a:ext cx="0" cy="478971"/>
          </a:xfrm>
          <a:prstGeom prst="line">
            <a:avLst/>
          </a:prstGeom>
          <a:ln w="952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31746</xdr:colOff>
      <xdr:row>96</xdr:row>
      <xdr:rowOff>20433</xdr:rowOff>
    </xdr:from>
    <xdr:to>
      <xdr:col>3</xdr:col>
      <xdr:colOff>292464</xdr:colOff>
      <xdr:row>113</xdr:row>
      <xdr:rowOff>7694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64F5B768-3F20-1C1F-377B-CAE787494269}"/>
            </a:ext>
          </a:extLst>
        </xdr:cNvPr>
        <xdr:cNvGrpSpPr/>
      </xdr:nvGrpSpPr>
      <xdr:grpSpPr>
        <a:xfrm>
          <a:off x="1226034" y="24682856"/>
          <a:ext cx="3587142" cy="3101203"/>
          <a:chOff x="1222371" y="24463964"/>
          <a:chExt cx="3582562" cy="3023355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8FA3D5B3-C721-8B36-2D08-52B917B2606C}"/>
              </a:ext>
            </a:extLst>
          </xdr:cNvPr>
          <xdr:cNvGrpSpPr/>
        </xdr:nvGrpSpPr>
        <xdr:grpSpPr>
          <a:xfrm>
            <a:off x="1222371" y="24463964"/>
            <a:ext cx="3582562" cy="3023355"/>
            <a:chOff x="1224878" y="24394407"/>
            <a:chExt cx="3584441" cy="3055313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BD3777F-D472-42B8-BDD9-BF622DD624A9}"/>
                </a:ext>
              </a:extLst>
            </xdr:cNvPr>
            <xdr:cNvGraphicFramePr>
              <a:graphicFrameLocks/>
            </xdr:cNvGraphicFramePr>
          </xdr:nvGraphicFramePr>
          <xdr:xfrm>
            <a:off x="1224878" y="24394407"/>
            <a:ext cx="3584441" cy="30553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0D88CFE1-50E5-4372-A226-994528E78275}"/>
                </a:ext>
              </a:extLst>
            </xdr:cNvPr>
            <xdr:cNvCxnSpPr/>
          </xdr:nvCxnSpPr>
          <xdr:spPr>
            <a:xfrm flipH="1">
              <a:off x="1539040" y="25948105"/>
              <a:ext cx="2391276" cy="0"/>
            </a:xfrm>
            <a:prstGeom prst="line">
              <a:avLst/>
            </a:prstGeom>
            <a:ln w="9525"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F36EC594-4FFD-416C-8C9F-EB51DCB48407}"/>
                </a:ext>
              </a:extLst>
            </xdr:cNvPr>
            <xdr:cNvCxnSpPr/>
          </xdr:nvCxnSpPr>
          <xdr:spPr>
            <a:xfrm flipH="1">
              <a:off x="1539040" y="25331487"/>
              <a:ext cx="1518986" cy="0"/>
            </a:xfrm>
            <a:prstGeom prst="line">
              <a:avLst/>
            </a:prstGeom>
            <a:ln w="9525"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2FF5A1AD-7244-437F-6B7E-1A121B36B04B}"/>
                </a:ext>
              </a:extLst>
            </xdr:cNvPr>
            <xdr:cNvCxnSpPr/>
          </xdr:nvCxnSpPr>
          <xdr:spPr>
            <a:xfrm>
              <a:off x="3042988" y="25326474"/>
              <a:ext cx="0" cy="1483785"/>
            </a:xfrm>
            <a:prstGeom prst="line">
              <a:avLst/>
            </a:prstGeom>
            <a:ln w="9525"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B0010297-5040-7239-B4E2-DE9B4C68C8A4}"/>
                </a:ext>
              </a:extLst>
            </xdr:cNvPr>
            <xdr:cNvCxnSpPr/>
          </xdr:nvCxnSpPr>
          <xdr:spPr>
            <a:xfrm>
              <a:off x="3920291" y="25933066"/>
              <a:ext cx="0" cy="811016"/>
            </a:xfrm>
            <a:prstGeom prst="line">
              <a:avLst/>
            </a:prstGeom>
            <a:ln w="9525"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4" name="TextBox 1">
            <a:extLst>
              <a:ext uri="{FF2B5EF4-FFF2-40B4-BE49-F238E27FC236}">
                <a16:creationId xmlns:a16="http://schemas.microsoft.com/office/drawing/2014/main" id="{31DA7552-87A0-8B8C-01AF-26B6BF472734}"/>
              </a:ext>
            </a:extLst>
          </xdr:cNvPr>
          <xdr:cNvSpPr txBox="1"/>
        </xdr:nvSpPr>
        <xdr:spPr>
          <a:xfrm>
            <a:off x="1359293" y="24690183"/>
            <a:ext cx="239729" cy="200226"/>
          </a:xfrm>
          <a:prstGeom prst="rect">
            <a:avLst/>
          </a:prstGeom>
        </xdr:spPr>
        <xdr:txBody>
          <a:bodyPr wrap="square" lIns="36000" tIns="36000" rIns="36000" bIns="36000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IN" sz="800" kern="1200"/>
              <a:t>P_d</a:t>
            </a:r>
          </a:p>
        </xdr:txBody>
      </xdr:sp>
      <xdr:sp macro="" textlink="">
        <xdr:nvSpPr>
          <xdr:cNvPr id="19" name="TextBox 1">
            <a:extLst>
              <a:ext uri="{FF2B5EF4-FFF2-40B4-BE49-F238E27FC236}">
                <a16:creationId xmlns:a16="http://schemas.microsoft.com/office/drawing/2014/main" id="{8F12E37B-2CCC-5E3B-C492-1A15D677C0BB}"/>
              </a:ext>
            </a:extLst>
          </xdr:cNvPr>
          <xdr:cNvSpPr txBox="1"/>
        </xdr:nvSpPr>
        <xdr:spPr>
          <a:xfrm>
            <a:off x="1353341" y="25214057"/>
            <a:ext cx="337347" cy="200226"/>
          </a:xfrm>
          <a:prstGeom prst="rect">
            <a:avLst/>
          </a:prstGeom>
        </xdr:spPr>
        <xdr:txBody>
          <a:bodyPr wrap="square" lIns="36000" tIns="36000" rIns="36000" bIns="36000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IN" sz="800" kern="1200"/>
              <a:t>P'_dc</a:t>
            </a:r>
          </a:p>
        </xdr:txBody>
      </xdr:sp>
      <xdr:sp macro="" textlink="">
        <xdr:nvSpPr>
          <xdr:cNvPr id="20" name="TextBox 1">
            <a:extLst>
              <a:ext uri="{FF2B5EF4-FFF2-40B4-BE49-F238E27FC236}">
                <a16:creationId xmlns:a16="http://schemas.microsoft.com/office/drawing/2014/main" id="{0467B732-8179-E9DC-D8E3-9506B63BC01D}"/>
              </a:ext>
            </a:extLst>
          </xdr:cNvPr>
          <xdr:cNvSpPr txBox="1"/>
        </xdr:nvSpPr>
        <xdr:spPr>
          <a:xfrm>
            <a:off x="1275951" y="25833183"/>
            <a:ext cx="426643" cy="200226"/>
          </a:xfrm>
          <a:prstGeom prst="rect">
            <a:avLst/>
          </a:prstGeom>
        </xdr:spPr>
        <xdr:txBody>
          <a:bodyPr wrap="square" lIns="36000" tIns="36000" rIns="36000" bIns="36000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IN" sz="800" kern="1200"/>
              <a:t>P'_dc/2</a:t>
            </a:r>
          </a:p>
        </xdr:txBody>
      </xdr:sp>
      <xdr:sp macro="" textlink="">
        <xdr:nvSpPr>
          <xdr:cNvPr id="22" name="TextBox 1">
            <a:extLst>
              <a:ext uri="{FF2B5EF4-FFF2-40B4-BE49-F238E27FC236}">
                <a16:creationId xmlns:a16="http://schemas.microsoft.com/office/drawing/2014/main" id="{1B3C3ACD-E0C8-F2E6-B3D7-3EAD2E07E6ED}"/>
              </a:ext>
            </a:extLst>
          </xdr:cNvPr>
          <xdr:cNvSpPr txBox="1"/>
        </xdr:nvSpPr>
        <xdr:spPr>
          <a:xfrm>
            <a:off x="3008310" y="26791636"/>
            <a:ext cx="426643" cy="200226"/>
          </a:xfrm>
          <a:prstGeom prst="rect">
            <a:avLst/>
          </a:prstGeom>
        </xdr:spPr>
        <xdr:txBody>
          <a:bodyPr wrap="square" lIns="36000" tIns="36000" rIns="36000" bIns="36000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IN" sz="800" kern="1200"/>
              <a:t>M'_dy</a:t>
            </a:r>
          </a:p>
        </xdr:txBody>
      </xdr:sp>
      <xdr:sp macro="" textlink="">
        <xdr:nvSpPr>
          <xdr:cNvPr id="24" name="TextBox 1">
            <a:extLst>
              <a:ext uri="{FF2B5EF4-FFF2-40B4-BE49-F238E27FC236}">
                <a16:creationId xmlns:a16="http://schemas.microsoft.com/office/drawing/2014/main" id="{60F2C699-AE2D-7090-B7D8-089200A1169B}"/>
              </a:ext>
            </a:extLst>
          </xdr:cNvPr>
          <xdr:cNvSpPr txBox="1"/>
        </xdr:nvSpPr>
        <xdr:spPr>
          <a:xfrm>
            <a:off x="3758404" y="26791636"/>
            <a:ext cx="629049" cy="200226"/>
          </a:xfrm>
          <a:prstGeom prst="rect">
            <a:avLst/>
          </a:prstGeom>
        </xdr:spPr>
        <xdr:txBody>
          <a:bodyPr wrap="square" lIns="36000" tIns="36000" rIns="36000" bIns="36000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IN" sz="800" kern="1200"/>
              <a:t>M_max,y</a:t>
            </a:r>
          </a:p>
        </xdr:txBody>
      </xdr:sp>
    </xdr:grpSp>
    <xdr:clientData/>
  </xdr:twoCellAnchor>
  <xdr:twoCellAnchor editAs="oneCell">
    <xdr:from>
      <xdr:col>14</xdr:col>
      <xdr:colOff>61641</xdr:colOff>
      <xdr:row>0</xdr:row>
      <xdr:rowOff>0</xdr:rowOff>
    </xdr:from>
    <xdr:to>
      <xdr:col>25</xdr:col>
      <xdr:colOff>6453</xdr:colOff>
      <xdr:row>17</xdr:row>
      <xdr:rowOff>207887</xdr:rowOff>
    </xdr:to>
    <xdr:pic>
      <xdr:nvPicPr>
        <xdr:cNvPr id="28" name="Picture 27" descr="Page 70 of IS 11384-2022">
          <a:extLst>
            <a:ext uri="{FF2B5EF4-FFF2-40B4-BE49-F238E27FC236}">
              <a16:creationId xmlns:a16="http://schemas.microsoft.com/office/drawing/2014/main" id="{1D5E588C-C02C-47D5-8F1F-87484F40E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74868" y="0"/>
          <a:ext cx="6750858" cy="4225705"/>
        </a:xfrm>
        <a:prstGeom prst="rect">
          <a:avLst/>
        </a:prstGeom>
      </xdr:spPr>
    </xdr:pic>
    <xdr:clientData/>
  </xdr:twoCellAnchor>
  <xdr:twoCellAnchor editAs="oneCell">
    <xdr:from>
      <xdr:col>7</xdr:col>
      <xdr:colOff>612912</xdr:colOff>
      <xdr:row>18</xdr:row>
      <xdr:rowOff>43876</xdr:rowOff>
    </xdr:from>
    <xdr:to>
      <xdr:col>13</xdr:col>
      <xdr:colOff>576411</xdr:colOff>
      <xdr:row>28</xdr:row>
      <xdr:rowOff>84280</xdr:rowOff>
    </xdr:to>
    <xdr:pic>
      <xdr:nvPicPr>
        <xdr:cNvPr id="30" name="Picture 29" descr="Page 41 of IS 11384-2022">
          <a:extLst>
            <a:ext uri="{FF2B5EF4-FFF2-40B4-BE49-F238E27FC236}">
              <a16:creationId xmlns:a16="http://schemas.microsoft.com/office/drawing/2014/main" id="{F307E0DE-57AC-4AE2-B8D2-737325364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0173" y="4334267"/>
          <a:ext cx="3640977" cy="2334687"/>
        </a:xfrm>
        <a:prstGeom prst="rect">
          <a:avLst/>
        </a:prstGeom>
      </xdr:spPr>
    </xdr:pic>
    <xdr:clientData/>
  </xdr:twoCellAnchor>
  <xdr:twoCellAnchor editAs="oneCell">
    <xdr:from>
      <xdr:col>8</xdr:col>
      <xdr:colOff>17070</xdr:colOff>
      <xdr:row>0</xdr:row>
      <xdr:rowOff>14969</xdr:rowOff>
    </xdr:from>
    <xdr:to>
      <xdr:col>13</xdr:col>
      <xdr:colOff>566560</xdr:colOff>
      <xdr:row>3</xdr:row>
      <xdr:rowOff>115981</xdr:rowOff>
    </xdr:to>
    <xdr:pic>
      <xdr:nvPicPr>
        <xdr:cNvPr id="32" name="Picture 31" descr="Page 39 of IS 11384-2022">
          <a:extLst>
            <a:ext uri="{FF2B5EF4-FFF2-40B4-BE49-F238E27FC236}">
              <a16:creationId xmlns:a16="http://schemas.microsoft.com/office/drawing/2014/main" id="{A977A3AD-8727-4B1F-BD52-79A5CAE1F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93479" y="14969"/>
          <a:ext cx="3580172" cy="689830"/>
        </a:xfrm>
        <a:prstGeom prst="rect">
          <a:avLst/>
        </a:prstGeom>
      </xdr:spPr>
    </xdr:pic>
    <xdr:clientData/>
  </xdr:twoCellAnchor>
  <xdr:twoCellAnchor editAs="oneCell">
    <xdr:from>
      <xdr:col>8</xdr:col>
      <xdr:colOff>10648</xdr:colOff>
      <xdr:row>3</xdr:row>
      <xdr:rowOff>143991</xdr:rowOff>
    </xdr:from>
    <xdr:to>
      <xdr:col>13</xdr:col>
      <xdr:colOff>565155</xdr:colOff>
      <xdr:row>17</xdr:row>
      <xdr:rowOff>372934</xdr:rowOff>
    </xdr:to>
    <xdr:pic>
      <xdr:nvPicPr>
        <xdr:cNvPr id="34" name="Picture 33" descr="Page 40 of IS 11384-2022">
          <a:extLst>
            <a:ext uri="{FF2B5EF4-FFF2-40B4-BE49-F238E27FC236}">
              <a16:creationId xmlns:a16="http://schemas.microsoft.com/office/drawing/2014/main" id="{E45D7BCA-8971-4CDE-9591-CA387CAB9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0822" y="723774"/>
          <a:ext cx="3619072" cy="3558551"/>
        </a:xfrm>
        <a:prstGeom prst="rect">
          <a:avLst/>
        </a:prstGeom>
      </xdr:spPr>
    </xdr:pic>
    <xdr:clientData/>
  </xdr:twoCellAnchor>
  <xdr:twoCellAnchor editAs="oneCell">
    <xdr:from>
      <xdr:col>8</xdr:col>
      <xdr:colOff>4084</xdr:colOff>
      <xdr:row>28</xdr:row>
      <xdr:rowOff>99466</xdr:rowOff>
    </xdr:from>
    <xdr:to>
      <xdr:col>13</xdr:col>
      <xdr:colOff>560969</xdr:colOff>
      <xdr:row>30</xdr:row>
      <xdr:rowOff>407171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A2339C7-7450-4B3B-AEF8-6010000C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84258" y="6684140"/>
          <a:ext cx="3621450" cy="829509"/>
        </a:xfrm>
        <a:prstGeom prst="rect">
          <a:avLst/>
        </a:prstGeom>
      </xdr:spPr>
    </xdr:pic>
    <xdr:clientData/>
  </xdr:twoCellAnchor>
  <xdr:twoCellAnchor>
    <xdr:from>
      <xdr:col>14</xdr:col>
      <xdr:colOff>75606</xdr:colOff>
      <xdr:row>17</xdr:row>
      <xdr:rowOff>264688</xdr:rowOff>
    </xdr:from>
    <xdr:to>
      <xdr:col>25</xdr:col>
      <xdr:colOff>68036</xdr:colOff>
      <xdr:row>51</xdr:row>
      <xdr:rowOff>68036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6C6EC2F2-1318-49DC-BA3D-002A91EB8DD4}"/>
            </a:ext>
          </a:extLst>
        </xdr:cNvPr>
        <xdr:cNvGrpSpPr/>
      </xdr:nvGrpSpPr>
      <xdr:grpSpPr>
        <a:xfrm>
          <a:off x="12406818" y="4162611"/>
          <a:ext cx="6821122" cy="9071906"/>
          <a:chOff x="12419319" y="4149524"/>
          <a:chExt cx="6779397" cy="9055327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21AB7E7F-C1F5-7F7D-F7A3-44A9DEB9E3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419319" y="4149524"/>
            <a:ext cx="6779397" cy="5097149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8FA09E55-03CD-5155-24A7-AB95F6B559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473877" y="9214959"/>
            <a:ext cx="6704740" cy="3989892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214352</xdr:colOff>
      <xdr:row>0</xdr:row>
      <xdr:rowOff>0</xdr:rowOff>
    </xdr:from>
    <xdr:to>
      <xdr:col>36</xdr:col>
      <xdr:colOff>385879</xdr:colOff>
      <xdr:row>25</xdr:row>
      <xdr:rowOff>423427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2A9875D-4AC7-4235-B0AE-5F473097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26290" y="0"/>
          <a:ext cx="6981902" cy="5947927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0.06365</cdr:x>
      <cdr:y>0.06235</cdr:y>
    </cdr:from>
    <cdr:to>
      <cdr:x>0.13207</cdr:x>
      <cdr:y>0.12469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F6BD44-6116-FD3D-8D60-45EEFAD57F8D}"/>
            </a:ext>
          </a:extLst>
        </cdr:cNvPr>
        <cdr:cNvSpPr txBox="1"/>
      </cdr:nvSpPr>
      <cdr:spPr>
        <a:xfrm xmlns:a="http://schemas.openxmlformats.org/drawingml/2006/main">
          <a:off x="223236" y="203903"/>
          <a:ext cx="239920" cy="2038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/>
        <a:lstStyle xmlns:a="http://schemas.openxmlformats.org/drawingml/2006/main"/>
        <a:p xmlns:a="http://schemas.openxmlformats.org/drawingml/2006/main">
          <a:r>
            <a:rPr lang="en-IN" sz="800" kern="1200"/>
            <a:t>P_d</a:t>
          </a:r>
        </a:p>
      </cdr:txBody>
    </cdr:sp>
  </cdr:relSizeAnchor>
  <cdr:relSizeAnchor xmlns:cdr="http://schemas.openxmlformats.org/drawingml/2006/chartDrawing">
    <cdr:from>
      <cdr:x>0.04074</cdr:x>
      <cdr:y>0.42883</cdr:y>
    </cdr:from>
    <cdr:to>
      <cdr:x>0.12466</cdr:x>
      <cdr:y>0.49118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673F081-32C2-9498-46A5-5590CA08FADB}"/>
            </a:ext>
          </a:extLst>
        </cdr:cNvPr>
        <cdr:cNvSpPr txBox="1"/>
      </cdr:nvSpPr>
      <cdr:spPr>
        <a:xfrm xmlns:a="http://schemas.openxmlformats.org/drawingml/2006/main">
          <a:off x="142880" y="1402412"/>
          <a:ext cx="294298" cy="203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/>
        <a:lstStyle xmlns:a="http://schemas.openxmlformats.org/drawingml/2006/main"/>
        <a:p xmlns:a="http://schemas.openxmlformats.org/drawingml/2006/main">
          <a:r>
            <a:rPr lang="en-IN" sz="800" kern="1200"/>
            <a:t>P'_dc</a:t>
          </a:r>
        </a:p>
      </cdr:txBody>
    </cdr:sp>
  </cdr:relSizeAnchor>
  <cdr:relSizeAnchor xmlns:cdr="http://schemas.openxmlformats.org/drawingml/2006/chartDrawing">
    <cdr:from>
      <cdr:x>0.02188</cdr:x>
      <cdr:y>0.51789</cdr:y>
    </cdr:from>
    <cdr:to>
      <cdr:x>0.13083</cdr:x>
      <cdr:y>0.58205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D78417A-65FE-B4AE-3BCD-8891C2D82340}"/>
            </a:ext>
          </a:extLst>
        </cdr:cNvPr>
        <cdr:cNvSpPr txBox="1"/>
      </cdr:nvSpPr>
      <cdr:spPr>
        <a:xfrm xmlns:a="http://schemas.openxmlformats.org/drawingml/2006/main">
          <a:off x="76726" y="1693664"/>
          <a:ext cx="382099" cy="209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/>
        <a:lstStyle xmlns:a="http://schemas.openxmlformats.org/drawingml/2006/main"/>
        <a:p xmlns:a="http://schemas.openxmlformats.org/drawingml/2006/main">
          <a:r>
            <a:rPr lang="en-IN" sz="800" kern="1200"/>
            <a:t>P'_dc/2</a:t>
          </a:r>
        </a:p>
      </cdr:txBody>
    </cdr:sp>
  </cdr:relSizeAnchor>
  <cdr:relSizeAnchor xmlns:cdr="http://schemas.openxmlformats.org/drawingml/2006/chartDrawing">
    <cdr:from>
      <cdr:x>0.80736</cdr:x>
      <cdr:y>0.71118</cdr:y>
    </cdr:from>
    <cdr:to>
      <cdr:x>0.93698</cdr:x>
      <cdr:y>0.76679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8D6C4BF-4312-FBA2-9DA8-1F675CE4CAD2}"/>
            </a:ext>
          </a:extLst>
        </cdr:cNvPr>
        <cdr:cNvSpPr txBox="1"/>
      </cdr:nvSpPr>
      <cdr:spPr>
        <a:xfrm xmlns:a="http://schemas.openxmlformats.org/drawingml/2006/main">
          <a:off x="2831417" y="2325778"/>
          <a:ext cx="454601" cy="181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/>
        <a:lstStyle xmlns:a="http://schemas.openxmlformats.org/drawingml/2006/main"/>
        <a:p xmlns:a="http://schemas.openxmlformats.org/drawingml/2006/main">
          <a:r>
            <a:rPr lang="en-IN" sz="800" kern="1200"/>
            <a:t>M_max,z</a:t>
          </a:r>
        </a:p>
      </cdr:txBody>
    </cdr:sp>
  </cdr:relSizeAnchor>
  <cdr:relSizeAnchor xmlns:cdr="http://schemas.openxmlformats.org/drawingml/2006/chartDrawing">
    <cdr:from>
      <cdr:x>0.716</cdr:x>
      <cdr:y>0.71118</cdr:y>
    </cdr:from>
    <cdr:to>
      <cdr:x>0.80612</cdr:x>
      <cdr:y>0.76679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8E00321A-FCD0-4DE7-889B-87F260A0FCCE}"/>
            </a:ext>
          </a:extLst>
        </cdr:cNvPr>
        <cdr:cNvSpPr txBox="1"/>
      </cdr:nvSpPr>
      <cdr:spPr>
        <a:xfrm xmlns:a="http://schemas.openxmlformats.org/drawingml/2006/main">
          <a:off x="2511032" y="2325778"/>
          <a:ext cx="316055" cy="181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36000" tIns="36000" rIns="36000" bIns="36000" rtlCol="0"/>
        <a:lstStyle xmlns:a="http://schemas.openxmlformats.org/drawingml/2006/main"/>
        <a:p xmlns:a="http://schemas.openxmlformats.org/drawingml/2006/main">
          <a:r>
            <a:rPr lang="en-IN" sz="800" kern="1200"/>
            <a:t>M'_dz</a:t>
          </a:r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56"/>
  <sheetViews>
    <sheetView tabSelected="1" view="pageBreakPreview" zoomScale="115" zoomScaleNormal="80" zoomScaleSheetLayoutView="115" workbookViewId="0">
      <selection activeCell="K28" sqref="K28"/>
    </sheetView>
  </sheetViews>
  <sheetFormatPr defaultRowHeight="14.25" outlineLevelRow="1" x14ac:dyDescent="0.25"/>
  <cols>
    <col min="1" max="1" width="5" style="1" customWidth="1"/>
    <col min="2" max="2" width="40.42578125" style="1" customWidth="1"/>
    <col min="3" max="3" width="14" style="1" customWidth="1"/>
    <col min="4" max="4" width="9.7109375" style="1" customWidth="1"/>
    <col min="5" max="5" width="5.85546875" style="1" customWidth="1"/>
    <col min="6" max="6" width="10" style="1" customWidth="1"/>
    <col min="7" max="7" width="36" style="1" customWidth="1"/>
    <col min="8" max="16384" width="9.140625" style="1"/>
  </cols>
  <sheetData>
    <row r="1" spans="2:13" ht="15.75" x14ac:dyDescent="0.25">
      <c r="B1" s="65" t="s">
        <v>261</v>
      </c>
    </row>
    <row r="3" spans="2:13" ht="15" x14ac:dyDescent="0.25">
      <c r="B3" s="61" t="s">
        <v>257</v>
      </c>
    </row>
    <row r="5" spans="2:13" x14ac:dyDescent="0.25">
      <c r="B5" s="1" t="s">
        <v>8</v>
      </c>
    </row>
    <row r="6" spans="2:13" ht="14.25" customHeight="1" x14ac:dyDescent="0.25">
      <c r="B6" s="144" t="str">
        <f>CONCATENATE("Compression, moment, and shear capacities and demand/capacity ratio are calculated for concrete-encased rectangular section member at mid-height as shown below. It is simply supported with a length of ",FIXED('2. Properties'!D24/1000,1,TRUE)," meters.")</f>
        <v>Compression, moment, and shear capacities and demand/capacity ratio are calculated for concrete-encased rectangular section member at mid-height as shown below. It is simply supported with a length of 7.0 meters.</v>
      </c>
      <c r="C6" s="144"/>
      <c r="D6" s="144"/>
      <c r="E6" s="144"/>
      <c r="F6" s="67"/>
    </row>
    <row r="7" spans="2:13" x14ac:dyDescent="0.25">
      <c r="B7" s="144"/>
      <c r="C7" s="144"/>
      <c r="D7" s="144"/>
      <c r="E7" s="144"/>
      <c r="F7" s="67"/>
    </row>
    <row r="8" spans="2:13" x14ac:dyDescent="0.25">
      <c r="B8" s="144"/>
      <c r="C8" s="144"/>
      <c r="D8" s="144"/>
      <c r="E8" s="144"/>
      <c r="F8" s="67"/>
    </row>
    <row r="10" spans="2:13" x14ac:dyDescent="0.25">
      <c r="B10" s="1" t="s">
        <v>9</v>
      </c>
    </row>
    <row r="11" spans="2:13" ht="15" x14ac:dyDescent="0.25">
      <c r="G11"/>
      <c r="I11" s="37" t="s">
        <v>225</v>
      </c>
      <c r="J11" s="129" t="s">
        <v>226</v>
      </c>
      <c r="K11" s="62">
        <f>'2. Properties'!D34</f>
        <v>400</v>
      </c>
      <c r="L11" t="s">
        <v>227</v>
      </c>
    </row>
    <row r="12" spans="2:13" ht="15" x14ac:dyDescent="0.25">
      <c r="G12"/>
      <c r="I12" s="37" t="s">
        <v>228</v>
      </c>
      <c r="J12" s="129" t="s">
        <v>226</v>
      </c>
      <c r="K12" s="62">
        <f>'2. Properties'!D35</f>
        <v>400</v>
      </c>
      <c r="L12" t="s">
        <v>227</v>
      </c>
    </row>
    <row r="13" spans="2:13" ht="15" x14ac:dyDescent="0.25">
      <c r="G13"/>
      <c r="I13" s="37" t="s">
        <v>229</v>
      </c>
      <c r="J13" s="129" t="s">
        <v>226</v>
      </c>
      <c r="K13" s="63">
        <f>'2. Properties'!D37</f>
        <v>256</v>
      </c>
      <c r="L13" t="s">
        <v>227</v>
      </c>
    </row>
    <row r="14" spans="2:13" ht="15" x14ac:dyDescent="0.25">
      <c r="E14"/>
      <c r="F14"/>
      <c r="G14"/>
      <c r="I14" s="37" t="s">
        <v>230</v>
      </c>
      <c r="J14" s="129" t="s">
        <v>226</v>
      </c>
      <c r="K14" s="63">
        <f>'2. Properties'!D36</f>
        <v>260</v>
      </c>
      <c r="L14" t="s">
        <v>227</v>
      </c>
      <c r="M14"/>
    </row>
    <row r="15" spans="2:13" ht="15" x14ac:dyDescent="0.25">
      <c r="E15"/>
      <c r="F15"/>
      <c r="G15"/>
      <c r="I15" s="37" t="s">
        <v>231</v>
      </c>
      <c r="J15" s="129" t="s">
        <v>226</v>
      </c>
      <c r="K15">
        <f>(K12-'2. Properties'!D42*2)/2</f>
        <v>41</v>
      </c>
      <c r="L15" t="s">
        <v>227</v>
      </c>
      <c r="M15"/>
    </row>
    <row r="16" spans="2:13" ht="15" x14ac:dyDescent="0.25">
      <c r="E16"/>
      <c r="F16"/>
      <c r="G16"/>
      <c r="I16" s="37" t="s">
        <v>232</v>
      </c>
      <c r="J16" s="129" t="s">
        <v>226</v>
      </c>
      <c r="K16" s="36">
        <f>'2. Properties'!D24/1000</f>
        <v>7</v>
      </c>
      <c r="L16" t="s">
        <v>227</v>
      </c>
      <c r="M16"/>
    </row>
    <row r="17" spans="2:25" ht="15" x14ac:dyDescent="0.25">
      <c r="E17"/>
      <c r="F17"/>
      <c r="J17" s="114"/>
      <c r="M17"/>
    </row>
    <row r="18" spans="2:25" ht="15" x14ac:dyDescent="0.25">
      <c r="E18"/>
      <c r="F18"/>
      <c r="H18" t="s">
        <v>233</v>
      </c>
      <c r="I18"/>
      <c r="J18" s="130"/>
      <c r="K18"/>
      <c r="L18"/>
      <c r="M18"/>
    </row>
    <row r="19" spans="2:25" ht="15" x14ac:dyDescent="0.25">
      <c r="E19"/>
      <c r="F19"/>
      <c r="H19" t="s">
        <v>234</v>
      </c>
      <c r="I19"/>
      <c r="J19" s="129" t="s">
        <v>226</v>
      </c>
      <c r="K19">
        <f>(K11-K15*2)/2</f>
        <v>159</v>
      </c>
      <c r="L19" t="s">
        <v>227</v>
      </c>
      <c r="M19"/>
    </row>
    <row r="20" spans="2:25" ht="15" x14ac:dyDescent="0.25">
      <c r="H20" t="s">
        <v>235</v>
      </c>
      <c r="I20"/>
      <c r="J20" s="129" t="s">
        <v>226</v>
      </c>
      <c r="K20">
        <f>(K12-K15*2)/2</f>
        <v>159</v>
      </c>
      <c r="L20" t="s">
        <v>227</v>
      </c>
    </row>
    <row r="21" spans="2:25" ht="15" x14ac:dyDescent="0.25">
      <c r="H21"/>
      <c r="I21"/>
      <c r="J21" s="130"/>
      <c r="K21"/>
      <c r="L21"/>
      <c r="M21"/>
      <c r="N21" s="35"/>
      <c r="O21"/>
      <c r="P21"/>
    </row>
    <row r="22" spans="2:25" ht="15" x14ac:dyDescent="0.25">
      <c r="H22" t="s">
        <v>236</v>
      </c>
      <c r="I22"/>
      <c r="J22" s="130"/>
      <c r="K22"/>
      <c r="L22"/>
      <c r="Q22"/>
      <c r="R22"/>
      <c r="S22"/>
      <c r="T22"/>
      <c r="U22"/>
      <c r="V22"/>
      <c r="W22"/>
      <c r="X22"/>
      <c r="Y22"/>
    </row>
    <row r="23" spans="2:25" ht="15" x14ac:dyDescent="0.25">
      <c r="H23" t="s">
        <v>234</v>
      </c>
      <c r="I23"/>
      <c r="J23" s="129" t="s">
        <v>226</v>
      </c>
      <c r="K23">
        <f>(K11-K13)/2</f>
        <v>72</v>
      </c>
      <c r="L23" t="s">
        <v>227</v>
      </c>
    </row>
    <row r="24" spans="2:25" ht="15" x14ac:dyDescent="0.25">
      <c r="H24" t="s">
        <v>235</v>
      </c>
      <c r="I24"/>
      <c r="J24" s="129" t="s">
        <v>226</v>
      </c>
      <c r="K24">
        <f>(K12-K14)/2</f>
        <v>70</v>
      </c>
      <c r="L24" t="s">
        <v>227</v>
      </c>
      <c r="M24"/>
      <c r="N24"/>
      <c r="O24"/>
      <c r="P24"/>
    </row>
    <row r="25" spans="2:25" ht="15" x14ac:dyDescent="0.25">
      <c r="M25"/>
      <c r="N25" s="35"/>
      <c r="O25"/>
      <c r="P25"/>
    </row>
    <row r="26" spans="2:25" ht="15" x14ac:dyDescent="0.25">
      <c r="M26"/>
      <c r="N26" s="35"/>
      <c r="O26"/>
      <c r="P26"/>
    </row>
    <row r="27" spans="2:25" x14ac:dyDescent="0.25">
      <c r="B27" s="143" t="s">
        <v>10</v>
      </c>
      <c r="C27" s="143"/>
      <c r="D27" s="143"/>
    </row>
    <row r="28" spans="2:25" x14ac:dyDescent="0.25">
      <c r="B28" s="2" t="str">
        <f>"Dead: P = "&amp;TEXT('2. Properties'!$D$28,"#,##0")&amp;" kN"</f>
        <v>Dead: P = 1,200 kN</v>
      </c>
      <c r="K28" s="1" t="str">
        <f>LOWER(B3)</f>
        <v>concrete-encased rectangular composite column</v>
      </c>
    </row>
    <row r="29" spans="2:25" x14ac:dyDescent="0.25">
      <c r="B29" s="2" t="str">
        <f>"Live:   P = " &amp;TEXT('2. Properties'!$D$29,"#,##0")&amp;" kN, My = "&amp;TEXT('2. Properties'!$D$30,"#,##0")&amp;" kN - m, Mz = "&amp;TEXT('2. Properties'!$D$31,"#,##0")&amp;" kN - m "</f>
        <v xml:space="preserve">Live:   P = 600 kN, My = 380 kN - m, Mz = 50 kN - m </v>
      </c>
    </row>
    <row r="30" spans="2:25" hidden="1" outlineLevel="1" x14ac:dyDescent="0.25"/>
    <row r="31" spans="2:25" hidden="1" outlineLevel="1" x14ac:dyDescent="0.25">
      <c r="B31" s="66" t="s">
        <v>262</v>
      </c>
    </row>
    <row r="32" spans="2:25" hidden="1" outlineLevel="1" x14ac:dyDescent="0.25">
      <c r="B32" s="66"/>
    </row>
    <row r="33" spans="2:8" hidden="1" outlineLevel="1" x14ac:dyDescent="0.25">
      <c r="B33" s="66" t="s">
        <v>263</v>
      </c>
    </row>
    <row r="34" spans="2:8" hidden="1" outlineLevel="1" x14ac:dyDescent="0.25">
      <c r="B34" s="66" t="s">
        <v>264</v>
      </c>
    </row>
    <row r="35" spans="2:8" hidden="1" outlineLevel="1" x14ac:dyDescent="0.25">
      <c r="B35" s="66" t="s">
        <v>265</v>
      </c>
    </row>
    <row r="36" spans="2:8" hidden="1" outlineLevel="1" x14ac:dyDescent="0.25">
      <c r="B36" s="66" t="s">
        <v>266</v>
      </c>
    </row>
    <row r="37" spans="2:8" collapsed="1" x14ac:dyDescent="0.25"/>
    <row r="38" spans="2:8" x14ac:dyDescent="0.25">
      <c r="B38" s="1" t="s">
        <v>12</v>
      </c>
      <c r="C38" s="1" t="s">
        <v>13</v>
      </c>
      <c r="H38" s="1" t="s">
        <v>14</v>
      </c>
    </row>
    <row r="40" spans="2:8" ht="15" x14ac:dyDescent="0.25">
      <c r="B40" s="126" t="s">
        <v>315</v>
      </c>
    </row>
    <row r="42" spans="2:8" ht="24" x14ac:dyDescent="0.25">
      <c r="B42" s="3" t="s">
        <v>15</v>
      </c>
      <c r="C42" s="60" t="s">
        <v>256</v>
      </c>
      <c r="H42" s="1" t="s">
        <v>11</v>
      </c>
    </row>
    <row r="43" spans="2:8" ht="15" x14ac:dyDescent="0.25">
      <c r="B43" s="4" t="s">
        <v>16</v>
      </c>
      <c r="C43" s="125">
        <f>ROUND('4. z-Buckling'!$E$18,0)</f>
        <v>5701</v>
      </c>
    </row>
    <row r="44" spans="2:8" ht="15" x14ac:dyDescent="0.25">
      <c r="B44" s="4" t="s">
        <v>17</v>
      </c>
      <c r="C44" s="125">
        <f>ROUND('4. z-Buckling'!$E$43,0)</f>
        <v>1835</v>
      </c>
    </row>
    <row r="45" spans="2:8" ht="15" x14ac:dyDescent="0.25">
      <c r="B45" s="4" t="s">
        <v>18</v>
      </c>
      <c r="C45" s="125">
        <f>ROUND('4. z-Buckling'!$E$88,0)</f>
        <v>3884</v>
      </c>
    </row>
    <row r="46" spans="2:8" ht="15" x14ac:dyDescent="0.25">
      <c r="B46" s="4" t="s">
        <v>19</v>
      </c>
      <c r="C46" s="124">
        <f>ROUND('5. Global+2nd'!$D$8,2)</f>
        <v>0.76</v>
      </c>
    </row>
    <row r="47" spans="2:8" ht="15" x14ac:dyDescent="0.25">
      <c r="B47" s="4" t="s">
        <v>20</v>
      </c>
      <c r="C47" s="124">
        <f>ROUND('5. Global+2nd'!$D$16,2)</f>
        <v>0.62</v>
      </c>
    </row>
    <row r="48" spans="2:8" ht="15" x14ac:dyDescent="0.25">
      <c r="B48" s="4" t="s">
        <v>21</v>
      </c>
      <c r="C48" s="125">
        <f>ROUND('4. z-Buckling'!$E$48,0)</f>
        <v>505</v>
      </c>
    </row>
    <row r="49" spans="2:8" ht="15" x14ac:dyDescent="0.25">
      <c r="B49" s="4" t="s">
        <v>22</v>
      </c>
      <c r="C49" s="125">
        <f>ROUND('4. z-Buckling'!$E$46,0)</f>
        <v>468</v>
      </c>
    </row>
    <row r="50" spans="2:8" ht="15" x14ac:dyDescent="0.25">
      <c r="B50" s="4" t="s">
        <v>23</v>
      </c>
      <c r="C50" s="125">
        <f>ROUND('4. z-Buckling'!$E$92,0)</f>
        <v>310</v>
      </c>
    </row>
    <row r="51" spans="2:8" ht="15" x14ac:dyDescent="0.25">
      <c r="B51" s="4" t="s">
        <v>24</v>
      </c>
      <c r="C51" s="125">
        <f>ROUND('4. z-Buckling'!$E$90,0)</f>
        <v>187</v>
      </c>
    </row>
    <row r="52" spans="2:8" ht="15" x14ac:dyDescent="0.25">
      <c r="B52" s="4" t="s">
        <v>25</v>
      </c>
      <c r="C52" s="125">
        <f>ROUND('6. Shear+DC'!$D$7,0)</f>
        <v>544</v>
      </c>
    </row>
    <row r="53" spans="2:8" ht="15" x14ac:dyDescent="0.25">
      <c r="B53" s="4" t="s">
        <v>26</v>
      </c>
      <c r="C53" s="125">
        <f>ROUND('6. Shear+DC'!$D$15,0)</f>
        <v>1764</v>
      </c>
    </row>
    <row r="54" spans="2:8" ht="24" x14ac:dyDescent="0.25">
      <c r="B54" s="4" t="s">
        <v>27</v>
      </c>
      <c r="C54" s="123">
        <f>ROUND('6. Shear+DC'!$D$48,3)</f>
        <v>1.381</v>
      </c>
      <c r="H54" s="66" t="s">
        <v>333</v>
      </c>
    </row>
    <row r="56" spans="2:8" x14ac:dyDescent="0.25">
      <c r="B56" s="2" t="s">
        <v>258</v>
      </c>
    </row>
  </sheetData>
  <mergeCells count="2">
    <mergeCell ref="B27:D27"/>
    <mergeCell ref="B6:E8"/>
  </mergeCells>
  <conditionalFormatting sqref="C54">
    <cfRule type="cellIs" dxfId="14" priority="1" operator="greaterThanOrEqual">
      <formula>1</formula>
    </cfRule>
  </conditionalFormatting>
  <pageMargins left="0.55118110236220474" right="0.55118110236220474" top="0.51181102362204722" bottom="0.51181102362204722" header="0.23622047244094491" footer="0.23622047244094491"/>
  <pageSetup fitToHeight="3" orientation="portrait" useFirstPageNumber="1" r:id="rId1"/>
  <headerFooter>
    <oddFooter xml:space="preserve">&amp;R&amp;"Times New Roman,Regular"&amp;8  Calculation as per IS 11384:2022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84"/>
  <sheetViews>
    <sheetView view="pageBreakPreview" zoomScaleNormal="100" zoomScaleSheetLayoutView="100" workbookViewId="0">
      <selection activeCell="D34" sqref="D34"/>
    </sheetView>
  </sheetViews>
  <sheetFormatPr defaultRowHeight="15.95" customHeight="1" x14ac:dyDescent="0.25"/>
  <cols>
    <col min="1" max="1" width="5.5703125" style="18" customWidth="1"/>
    <col min="2" max="2" width="15.7109375" style="18" customWidth="1"/>
    <col min="3" max="3" width="14.85546875" style="18" customWidth="1"/>
    <col min="4" max="4" width="12.28515625" style="18" customWidth="1"/>
    <col min="5" max="5" width="8.7109375" style="18" customWidth="1"/>
    <col min="6" max="6" width="36.5703125" style="18" customWidth="1"/>
    <col min="7" max="7" width="15.7109375" style="18" customWidth="1"/>
    <col min="8" max="8" width="17" style="18" customWidth="1"/>
    <col min="9" max="16384" width="9.140625" style="18"/>
  </cols>
  <sheetData>
    <row r="1" spans="2:20" ht="15.95" customHeight="1" x14ac:dyDescent="0.25">
      <c r="B1" s="68" t="s">
        <v>267</v>
      </c>
    </row>
    <row r="2" spans="2:20" ht="15.95" customHeight="1" x14ac:dyDescent="0.25">
      <c r="C2" s="69" t="s">
        <v>268</v>
      </c>
    </row>
    <row r="3" spans="2:20" ht="15.95" customHeight="1" x14ac:dyDescent="0.25">
      <c r="D3" s="41" t="s">
        <v>246</v>
      </c>
    </row>
    <row r="4" spans="2:20" ht="15.95" customHeight="1" x14ac:dyDescent="0.25">
      <c r="B4" s="20" t="s">
        <v>167</v>
      </c>
      <c r="C4" s="19" t="s">
        <v>0</v>
      </c>
      <c r="D4" s="109">
        <v>210000</v>
      </c>
      <c r="E4" s="27" t="s">
        <v>237</v>
      </c>
    </row>
    <row r="5" spans="2:20" ht="15.95" customHeight="1" x14ac:dyDescent="0.25">
      <c r="B5" s="20" t="s">
        <v>168</v>
      </c>
      <c r="C5" s="19" t="s">
        <v>0</v>
      </c>
      <c r="D5" s="22">
        <v>345</v>
      </c>
      <c r="E5" s="27" t="s">
        <v>238</v>
      </c>
    </row>
    <row r="6" spans="2:20" ht="15.95" customHeight="1" x14ac:dyDescent="0.25">
      <c r="B6" s="20" t="s">
        <v>169</v>
      </c>
      <c r="C6" s="19" t="s">
        <v>0</v>
      </c>
      <c r="D6" s="115">
        <v>1.1000000000000001</v>
      </c>
    </row>
    <row r="8" spans="2:20" ht="15.95" customHeight="1" x14ac:dyDescent="0.25">
      <c r="D8" s="39" t="s">
        <v>269</v>
      </c>
    </row>
    <row r="9" spans="2:20" ht="15.95" customHeight="1" x14ac:dyDescent="0.25">
      <c r="B9" s="20" t="s">
        <v>170</v>
      </c>
      <c r="C9" s="19" t="s">
        <v>0</v>
      </c>
      <c r="D9" s="21">
        <v>27386</v>
      </c>
      <c r="E9" s="27" t="s">
        <v>238</v>
      </c>
    </row>
    <row r="10" spans="2:20" ht="15.95" customHeight="1" x14ac:dyDescent="0.25">
      <c r="B10" s="20" t="s">
        <v>171</v>
      </c>
      <c r="C10" s="19" t="s">
        <v>0</v>
      </c>
      <c r="D10" s="22">
        <v>30</v>
      </c>
      <c r="E10" s="27" t="s">
        <v>238</v>
      </c>
    </row>
    <row r="11" spans="2:20" ht="15.95" customHeight="1" x14ac:dyDescent="0.25">
      <c r="B11" s="20" t="s">
        <v>172</v>
      </c>
      <c r="C11" s="19" t="s">
        <v>0</v>
      </c>
      <c r="D11" s="115">
        <v>1.5</v>
      </c>
      <c r="G11"/>
      <c r="P11" s="1"/>
      <c r="Q11" s="37" t="s">
        <v>225</v>
      </c>
      <c r="R11" s="129" t="s">
        <v>226</v>
      </c>
      <c r="S11" s="62">
        <f>'2. Properties'!D34</f>
        <v>400</v>
      </c>
      <c r="T11" t="s">
        <v>227</v>
      </c>
    </row>
    <row r="12" spans="2:20" ht="15.95" customHeight="1" x14ac:dyDescent="0.25">
      <c r="B12" s="20" t="s">
        <v>173</v>
      </c>
      <c r="C12" s="19" t="s">
        <v>0</v>
      </c>
      <c r="D12" s="115">
        <v>0.85</v>
      </c>
      <c r="G12"/>
      <c r="P12" s="1"/>
      <c r="Q12" s="37" t="s">
        <v>228</v>
      </c>
      <c r="R12" s="129" t="s">
        <v>226</v>
      </c>
      <c r="S12" s="62">
        <f>'2. Properties'!D35</f>
        <v>400</v>
      </c>
      <c r="T12" t="s">
        <v>227</v>
      </c>
    </row>
    <row r="13" spans="2:20" ht="15.95" customHeight="1" x14ac:dyDescent="0.25">
      <c r="B13" s="20" t="s">
        <v>174</v>
      </c>
      <c r="C13" s="19" t="s">
        <v>0</v>
      </c>
      <c r="D13" s="109">
        <v>1</v>
      </c>
      <c r="G13"/>
      <c r="P13" s="1"/>
      <c r="Q13" s="37" t="s">
        <v>229</v>
      </c>
      <c r="R13" s="129" t="s">
        <v>226</v>
      </c>
      <c r="S13" s="63">
        <f>'2. Properties'!D37</f>
        <v>256</v>
      </c>
      <c r="T13" t="s">
        <v>227</v>
      </c>
    </row>
    <row r="14" spans="2:20" ht="15.95" customHeight="1" x14ac:dyDescent="0.25">
      <c r="B14" s="20" t="s">
        <v>175</v>
      </c>
      <c r="C14" s="19" t="s">
        <v>0</v>
      </c>
      <c r="D14" s="109">
        <v>1</v>
      </c>
      <c r="G14"/>
      <c r="P14" s="1"/>
      <c r="Q14" s="37" t="s">
        <v>230</v>
      </c>
      <c r="R14" s="129" t="s">
        <v>226</v>
      </c>
      <c r="S14" s="63">
        <f>'2. Properties'!D36</f>
        <v>260</v>
      </c>
      <c r="T14" t="s">
        <v>227</v>
      </c>
    </row>
    <row r="15" spans="2:20" ht="15.95" customHeight="1" x14ac:dyDescent="0.25">
      <c r="G15"/>
      <c r="P15" s="1"/>
      <c r="Q15" s="37" t="s">
        <v>231</v>
      </c>
      <c r="R15" s="129" t="s">
        <v>226</v>
      </c>
      <c r="S15" s="131">
        <f>(S12-D42*2)/2</f>
        <v>41</v>
      </c>
      <c r="T15" t="s">
        <v>227</v>
      </c>
    </row>
    <row r="16" spans="2:20" ht="15.95" customHeight="1" x14ac:dyDescent="0.25">
      <c r="D16" s="42" t="s">
        <v>247</v>
      </c>
      <c r="G16"/>
      <c r="P16" s="1"/>
      <c r="Q16" s="37" t="s">
        <v>232</v>
      </c>
      <c r="R16" s="129" t="s">
        <v>226</v>
      </c>
      <c r="S16" s="36">
        <f>'2. Properties'!D24/1000</f>
        <v>7</v>
      </c>
      <c r="T16" t="s">
        <v>227</v>
      </c>
    </row>
    <row r="17" spans="2:20" ht="15.95" customHeight="1" x14ac:dyDescent="0.25">
      <c r="B17" s="20" t="s">
        <v>176</v>
      </c>
      <c r="C17" s="19" t="s">
        <v>0</v>
      </c>
      <c r="D17" s="109">
        <v>200000</v>
      </c>
      <c r="E17" s="27" t="s">
        <v>238</v>
      </c>
      <c r="G17" s="1"/>
      <c r="P17" s="1"/>
      <c r="Q17" s="1"/>
      <c r="R17" s="114"/>
      <c r="S17" s="1"/>
      <c r="T17" s="1"/>
    </row>
    <row r="18" spans="2:20" ht="15.95" customHeight="1" x14ac:dyDescent="0.25">
      <c r="B18" s="20" t="s">
        <v>177</v>
      </c>
      <c r="C18" s="19" t="s">
        <v>0</v>
      </c>
      <c r="D18" s="22">
        <v>415</v>
      </c>
      <c r="E18" s="27" t="s">
        <v>238</v>
      </c>
      <c r="G18" s="1"/>
      <c r="P18" t="s">
        <v>233</v>
      </c>
      <c r="Q18"/>
      <c r="R18" s="130"/>
      <c r="S18"/>
      <c r="T18"/>
    </row>
    <row r="19" spans="2:20" ht="15.95" customHeight="1" x14ac:dyDescent="0.25">
      <c r="B19" s="20" t="s">
        <v>178</v>
      </c>
      <c r="C19" s="19" t="s">
        <v>0</v>
      </c>
      <c r="D19" s="109">
        <v>1.1499999999999999</v>
      </c>
      <c r="G19" s="1"/>
      <c r="P19" t="s">
        <v>234</v>
      </c>
      <c r="Q19"/>
      <c r="R19" s="129" t="s">
        <v>226</v>
      </c>
      <c r="S19">
        <f>(S11-S15*2)/2</f>
        <v>159</v>
      </c>
      <c r="T19" t="s">
        <v>227</v>
      </c>
    </row>
    <row r="20" spans="2:20" ht="15.95" customHeight="1" x14ac:dyDescent="0.25">
      <c r="G20" s="1"/>
      <c r="P20" t="s">
        <v>235</v>
      </c>
      <c r="Q20"/>
      <c r="R20" s="129" t="s">
        <v>226</v>
      </c>
      <c r="S20">
        <f>(S12-S15*2)/2</f>
        <v>159</v>
      </c>
      <c r="T20" t="s">
        <v>227</v>
      </c>
    </row>
    <row r="21" spans="2:20" ht="15.95" customHeight="1" x14ac:dyDescent="0.25">
      <c r="C21" s="69" t="s">
        <v>179</v>
      </c>
      <c r="G21" s="1"/>
      <c r="P21"/>
      <c r="Q21"/>
      <c r="R21" s="130"/>
      <c r="S21"/>
      <c r="T21"/>
    </row>
    <row r="22" spans="2:20" ht="15.95" customHeight="1" x14ac:dyDescent="0.25">
      <c r="B22" s="20" t="s">
        <v>180</v>
      </c>
      <c r="C22" s="19" t="s">
        <v>0</v>
      </c>
      <c r="D22" s="23">
        <v>1</v>
      </c>
      <c r="F22" s="26" t="s">
        <v>213</v>
      </c>
      <c r="G22" s="1"/>
      <c r="P22" t="s">
        <v>236</v>
      </c>
      <c r="Q22"/>
      <c r="R22" s="130"/>
      <c r="S22"/>
      <c r="T22"/>
    </row>
    <row r="23" spans="2:20" ht="15.95" customHeight="1" x14ac:dyDescent="0.25">
      <c r="B23" s="20" t="s">
        <v>181</v>
      </c>
      <c r="C23" s="19" t="s">
        <v>0</v>
      </c>
      <c r="D23" s="23">
        <v>1</v>
      </c>
      <c r="F23" s="26" t="s">
        <v>213</v>
      </c>
      <c r="G23" s="1"/>
      <c r="P23" t="s">
        <v>234</v>
      </c>
      <c r="Q23"/>
      <c r="R23" s="129" t="s">
        <v>226</v>
      </c>
      <c r="S23">
        <f>(S11-S13)/2</f>
        <v>72</v>
      </c>
      <c r="T23" t="s">
        <v>227</v>
      </c>
    </row>
    <row r="24" spans="2:20" ht="15.95" customHeight="1" x14ac:dyDescent="0.25">
      <c r="B24" s="20" t="s">
        <v>182</v>
      </c>
      <c r="C24" s="19" t="s">
        <v>0</v>
      </c>
      <c r="D24" s="21">
        <v>7000</v>
      </c>
      <c r="E24" s="27" t="s">
        <v>227</v>
      </c>
      <c r="G24" s="1"/>
      <c r="P24" t="s">
        <v>235</v>
      </c>
      <c r="Q24"/>
      <c r="R24" s="129" t="s">
        <v>226</v>
      </c>
      <c r="S24">
        <f>(S12-S14)/2</f>
        <v>70</v>
      </c>
      <c r="T24" t="s">
        <v>227</v>
      </c>
    </row>
    <row r="25" spans="2:20" ht="15.95" customHeight="1" x14ac:dyDescent="0.25">
      <c r="B25" s="20" t="s">
        <v>183</v>
      </c>
      <c r="C25" s="19" t="s">
        <v>0</v>
      </c>
      <c r="D25" s="21">
        <v>7000</v>
      </c>
      <c r="E25" s="27" t="s">
        <v>227</v>
      </c>
    </row>
    <row r="26" spans="2:20" ht="15.95" customHeight="1" thickBot="1" x14ac:dyDescent="0.3"/>
    <row r="27" spans="2:20" ht="15.95" customHeight="1" x14ac:dyDescent="0.25">
      <c r="C27" s="24" t="s">
        <v>184</v>
      </c>
      <c r="H27" s="132"/>
      <c r="I27" s="133" t="s">
        <v>332</v>
      </c>
      <c r="J27" s="134"/>
      <c r="K27" s="134"/>
      <c r="L27" s="134"/>
      <c r="M27" s="134"/>
      <c r="N27" s="134"/>
      <c r="O27" s="134"/>
      <c r="P27" s="135"/>
    </row>
    <row r="28" spans="2:20" ht="15.95" customHeight="1" x14ac:dyDescent="0.25">
      <c r="B28" s="20" t="s">
        <v>185</v>
      </c>
      <c r="C28" s="19" t="s">
        <v>0</v>
      </c>
      <c r="D28" s="21">
        <v>1200</v>
      </c>
      <c r="E28" s="27" t="s">
        <v>248</v>
      </c>
      <c r="F28" s="26" t="s">
        <v>240</v>
      </c>
      <c r="H28" s="136"/>
      <c r="P28" s="137"/>
    </row>
    <row r="29" spans="2:20" ht="15.95" customHeight="1" x14ac:dyDescent="0.25">
      <c r="B29" s="20" t="s">
        <v>186</v>
      </c>
      <c r="C29" s="19" t="s">
        <v>0</v>
      </c>
      <c r="D29" s="21">
        <v>600</v>
      </c>
      <c r="E29" s="27" t="s">
        <v>248</v>
      </c>
      <c r="F29" s="26" t="s">
        <v>241</v>
      </c>
      <c r="H29" s="136"/>
      <c r="I29" s="138" t="s">
        <v>329</v>
      </c>
      <c r="M29" s="138" t="s">
        <v>330</v>
      </c>
      <c r="P29" s="137"/>
    </row>
    <row r="30" spans="2:20" ht="15.95" customHeight="1" x14ac:dyDescent="0.25">
      <c r="B30" s="20" t="s">
        <v>100</v>
      </c>
      <c r="C30" s="19" t="s">
        <v>0</v>
      </c>
      <c r="D30" s="21">
        <v>380</v>
      </c>
      <c r="E30" s="27" t="s">
        <v>249</v>
      </c>
      <c r="F30" s="26" t="s">
        <v>242</v>
      </c>
      <c r="H30" s="136"/>
      <c r="I30" s="97" t="s">
        <v>316</v>
      </c>
      <c r="J30" s="139" t="s">
        <v>226</v>
      </c>
      <c r="K30" s="128">
        <f>'5. Global+2nd'!D9</f>
        <v>0.41484017576173349</v>
      </c>
      <c r="M30" s="97" t="s">
        <v>318</v>
      </c>
      <c r="N30" s="139" t="s">
        <v>226</v>
      </c>
      <c r="O30" s="128">
        <f>'6. Shear+DC'!D8</f>
        <v>9.9830774824042845E-2</v>
      </c>
      <c r="P30" s="137"/>
    </row>
    <row r="31" spans="2:20" ht="15.95" customHeight="1" x14ac:dyDescent="0.25">
      <c r="B31" s="20" t="s">
        <v>93</v>
      </c>
      <c r="C31" s="19" t="s">
        <v>0</v>
      </c>
      <c r="D31" s="21">
        <v>50</v>
      </c>
      <c r="E31" s="27" t="s">
        <v>249</v>
      </c>
      <c r="F31" s="26" t="s">
        <v>239</v>
      </c>
      <c r="H31" s="136"/>
      <c r="I31" s="97" t="s">
        <v>317</v>
      </c>
      <c r="J31" s="139" t="s">
        <v>226</v>
      </c>
      <c r="K31" s="128">
        <f>'5. Global+2nd'!D17</f>
        <v>0.51040072417775362</v>
      </c>
      <c r="M31" s="97" t="s">
        <v>319</v>
      </c>
      <c r="N31" s="139" t="s">
        <v>226</v>
      </c>
      <c r="O31" s="128">
        <f>'6. Shear+DC'!D16</f>
        <v>4.0485306592144043E-3</v>
      </c>
      <c r="P31" s="137"/>
    </row>
    <row r="32" spans="2:20" ht="15.95" customHeight="1" x14ac:dyDescent="0.25">
      <c r="H32" s="136"/>
      <c r="P32" s="137"/>
    </row>
    <row r="33" spans="2:16" ht="15.95" customHeight="1" x14ac:dyDescent="0.25">
      <c r="C33" s="28" t="s">
        <v>212</v>
      </c>
      <c r="H33" s="136"/>
      <c r="I33" s="127" t="s">
        <v>331</v>
      </c>
      <c r="P33" s="137"/>
    </row>
    <row r="34" spans="2:16" ht="15.95" customHeight="1" x14ac:dyDescent="0.25">
      <c r="B34" s="20" t="s">
        <v>187</v>
      </c>
      <c r="C34" s="19" t="s">
        <v>0</v>
      </c>
      <c r="D34" s="21">
        <v>400</v>
      </c>
      <c r="E34" s="27" t="s">
        <v>227</v>
      </c>
      <c r="F34" s="26" t="s">
        <v>214</v>
      </c>
      <c r="H34" s="136"/>
      <c r="I34" s="97" t="s">
        <v>320</v>
      </c>
      <c r="J34" s="139" t="s">
        <v>226</v>
      </c>
      <c r="K34" s="128">
        <f>'6. Shear+DC'!D27</f>
        <v>0.45250122745758331</v>
      </c>
      <c r="P34" s="137"/>
    </row>
    <row r="35" spans="2:16" ht="15.95" customHeight="1" x14ac:dyDescent="0.25">
      <c r="B35" s="20" t="s">
        <v>188</v>
      </c>
      <c r="C35" s="19" t="s">
        <v>0</v>
      </c>
      <c r="D35" s="21">
        <v>400</v>
      </c>
      <c r="E35" s="27" t="s">
        <v>227</v>
      </c>
      <c r="F35" s="26" t="s">
        <v>215</v>
      </c>
      <c r="H35" s="136"/>
      <c r="I35" s="97" t="s">
        <v>321</v>
      </c>
      <c r="J35" s="139" t="s">
        <v>226</v>
      </c>
      <c r="K35" s="128">
        <f>'6. Shear+DC'!D29</f>
        <v>0.38464346860213244</v>
      </c>
      <c r="P35" s="137"/>
    </row>
    <row r="36" spans="2:16" ht="15.95" customHeight="1" x14ac:dyDescent="0.25">
      <c r="B36" s="20" t="s">
        <v>189</v>
      </c>
      <c r="C36" s="19" t="s">
        <v>0</v>
      </c>
      <c r="D36" s="21">
        <v>260</v>
      </c>
      <c r="E36" s="27" t="s">
        <v>227</v>
      </c>
      <c r="F36" s="26" t="s">
        <v>216</v>
      </c>
      <c r="H36" s="136"/>
      <c r="I36" s="97" t="s">
        <v>322</v>
      </c>
      <c r="J36" s="139" t="s">
        <v>226</v>
      </c>
      <c r="K36" s="128">
        <f>'6. Shear+DC'!D31</f>
        <v>0.31574520252259297</v>
      </c>
      <c r="P36" s="137"/>
    </row>
    <row r="37" spans="2:16" ht="15.95" customHeight="1" x14ac:dyDescent="0.25">
      <c r="B37" s="20" t="s">
        <v>190</v>
      </c>
      <c r="C37" s="19" t="s">
        <v>0</v>
      </c>
      <c r="D37" s="21">
        <v>256</v>
      </c>
      <c r="E37" s="27" t="s">
        <v>227</v>
      </c>
      <c r="F37" s="26" t="s">
        <v>217</v>
      </c>
      <c r="H37" s="136"/>
      <c r="I37" s="97" t="s">
        <v>323</v>
      </c>
      <c r="J37" s="139" t="s">
        <v>226</v>
      </c>
      <c r="K37" s="128">
        <f>'6. Shear+DC'!D33</f>
        <v>0.31574520252259297</v>
      </c>
      <c r="P37" s="137"/>
    </row>
    <row r="38" spans="2:16" ht="15.95" customHeight="1" x14ac:dyDescent="0.25">
      <c r="B38" s="20" t="s">
        <v>191</v>
      </c>
      <c r="C38" s="19" t="s">
        <v>0</v>
      </c>
      <c r="D38" s="23">
        <v>17.3</v>
      </c>
      <c r="E38" s="27" t="s">
        <v>227</v>
      </c>
      <c r="F38" s="26" t="s">
        <v>218</v>
      </c>
      <c r="H38" s="136"/>
      <c r="I38" s="97" t="s">
        <v>324</v>
      </c>
      <c r="J38" s="139" t="s">
        <v>226</v>
      </c>
      <c r="K38" s="128">
        <f>'6. Shear+DC'!D38</f>
        <v>0.64446400354243716</v>
      </c>
      <c r="P38" s="137"/>
    </row>
    <row r="39" spans="2:16" ht="15.95" customHeight="1" x14ac:dyDescent="0.25">
      <c r="B39" s="20" t="s">
        <v>192</v>
      </c>
      <c r="C39" s="19" t="s">
        <v>0</v>
      </c>
      <c r="D39" s="23">
        <v>10.5</v>
      </c>
      <c r="E39" s="27" t="s">
        <v>227</v>
      </c>
      <c r="F39" s="26" t="s">
        <v>219</v>
      </c>
      <c r="H39" s="136"/>
      <c r="I39" s="97" t="s">
        <v>325</v>
      </c>
      <c r="J39" s="139" t="s">
        <v>226</v>
      </c>
      <c r="K39" s="128">
        <f>'6. Shear+DC'!D43</f>
        <v>0.83896331933938761</v>
      </c>
      <c r="P39" s="137"/>
    </row>
    <row r="40" spans="2:16" ht="21.75" customHeight="1" x14ac:dyDescent="0.25">
      <c r="B40" s="20" t="s">
        <v>193</v>
      </c>
      <c r="C40" s="19" t="s">
        <v>0</v>
      </c>
      <c r="D40" s="22">
        <v>12</v>
      </c>
      <c r="E40" s="27" t="s">
        <v>227</v>
      </c>
      <c r="F40" s="26" t="str">
        <f>CONCATENATE(D40," dia bar (",D41," corner bars, per figure)")</f>
        <v>12 dia bar (4 corner bars, per figure)</v>
      </c>
      <c r="H40" s="136"/>
      <c r="I40" s="97" t="s">
        <v>326</v>
      </c>
      <c r="J40" s="139" t="s">
        <v>226</v>
      </c>
      <c r="K40" s="128">
        <f>'6. Shear+DC'!D45</f>
        <v>0.41413399928229799</v>
      </c>
      <c r="P40" s="137"/>
    </row>
    <row r="41" spans="2:16" ht="15.95" customHeight="1" x14ac:dyDescent="0.25">
      <c r="B41" s="20" t="s">
        <v>194</v>
      </c>
      <c r="C41" s="19" t="s">
        <v>0</v>
      </c>
      <c r="D41" s="22">
        <v>4</v>
      </c>
      <c r="E41" s="27" t="s">
        <v>243</v>
      </c>
      <c r="F41" s="26" t="s">
        <v>220</v>
      </c>
      <c r="H41" s="136"/>
      <c r="I41" s="97" t="s">
        <v>327</v>
      </c>
      <c r="J41" s="139" t="s">
        <v>226</v>
      </c>
      <c r="K41" s="128">
        <f>'6. Shear+DC'!D46</f>
        <v>0.96702826132162767</v>
      </c>
      <c r="P41" s="137"/>
    </row>
    <row r="42" spans="2:16" ht="32.25" customHeight="1" x14ac:dyDescent="0.25">
      <c r="B42" s="20" t="s">
        <v>195</v>
      </c>
      <c r="C42" s="19" t="s">
        <v>0</v>
      </c>
      <c r="D42" s="21">
        <v>159</v>
      </c>
      <c r="E42" s="27" t="s">
        <v>227</v>
      </c>
      <c r="F42" s="26" t="s">
        <v>221</v>
      </c>
      <c r="H42" s="136"/>
      <c r="I42" s="97" t="s">
        <v>328</v>
      </c>
      <c r="J42" s="139" t="s">
        <v>226</v>
      </c>
      <c r="K42" s="128">
        <f>'6. Shear+DC'!D48</f>
        <v>1.3811622606039258</v>
      </c>
      <c r="P42" s="137"/>
    </row>
    <row r="43" spans="2:16" ht="15.95" customHeight="1" thickBot="1" x14ac:dyDescent="0.3">
      <c r="H43" s="140"/>
      <c r="I43" s="141"/>
      <c r="J43" s="141"/>
      <c r="K43" s="141"/>
      <c r="L43" s="141"/>
      <c r="M43" s="141"/>
      <c r="N43" s="141"/>
      <c r="O43" s="141"/>
      <c r="P43" s="142"/>
    </row>
    <row r="58" ht="39.75" customHeight="1" x14ac:dyDescent="0.25"/>
    <row r="60" ht="27" customHeight="1" x14ac:dyDescent="0.25"/>
    <row r="62" ht="28.5" customHeight="1" x14ac:dyDescent="0.25"/>
    <row r="64" ht="29.25" customHeight="1" x14ac:dyDescent="0.25"/>
    <row r="66" ht="27" customHeight="1" x14ac:dyDescent="0.25"/>
    <row r="76" ht="14.25" x14ac:dyDescent="0.25"/>
    <row r="78" ht="14.25" x14ac:dyDescent="0.25"/>
    <row r="84" ht="14.25" x14ac:dyDescent="0.25"/>
  </sheetData>
  <conditionalFormatting sqref="K30:K31 K34:K42">
    <cfRule type="cellIs" dxfId="13" priority="2" operator="greaterThanOrEqual">
      <formula>1</formula>
    </cfRule>
  </conditionalFormatting>
  <conditionalFormatting sqref="O30:O31">
    <cfRule type="cellIs" dxfId="12" priority="1" operator="greaterThanOrEqual">
      <formula>1</formula>
    </cfRule>
  </conditionalFormatting>
  <pageMargins left="0.55118110236220474" right="0.55118110236220474" top="0.51181102362204722" bottom="0.51181102362204722" header="0.23622047244094491" footer="0.23622047244094491"/>
  <pageSetup firstPageNumber="3" fitToHeight="3" orientation="portrait" useFirstPageNumber="1" r:id="rId1"/>
  <headerFooter>
    <oddFooter xml:space="preserve">&amp;R&amp;"Times New Roman,Regular"&amp;8 Calculation as per IS 11384:2022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49"/>
  <sheetViews>
    <sheetView view="pageBreakPreview" zoomScale="130" zoomScaleNormal="100" zoomScaleSheetLayoutView="130" workbookViewId="0">
      <selection activeCell="D49" sqref="D49"/>
    </sheetView>
  </sheetViews>
  <sheetFormatPr defaultRowHeight="15.95" customHeight="1" x14ac:dyDescent="0.25"/>
  <cols>
    <col min="1" max="1" width="2.140625" style="18" customWidth="1"/>
    <col min="2" max="2" width="14.85546875" style="18" customWidth="1"/>
    <col min="3" max="3" width="42.85546875" style="18" customWidth="1"/>
    <col min="4" max="4" width="13.42578125" style="18" customWidth="1"/>
    <col min="5" max="5" width="6.85546875" style="18" customWidth="1"/>
    <col min="6" max="6" width="27.5703125" style="18" customWidth="1"/>
    <col min="7" max="8" width="9.140625" style="18"/>
    <col min="9" max="9" width="12.7109375" style="18" bestFit="1" customWidth="1"/>
    <col min="10" max="16384" width="9.140625" style="18"/>
  </cols>
  <sheetData>
    <row r="1" spans="2:6" ht="15.95" customHeight="1" x14ac:dyDescent="0.25">
      <c r="C1" s="99" t="s">
        <v>296</v>
      </c>
    </row>
    <row r="3" spans="2:6" ht="15.95" customHeight="1" x14ac:dyDescent="0.25">
      <c r="B3" s="20" t="s">
        <v>156</v>
      </c>
      <c r="C3" s="145" t="s">
        <v>157</v>
      </c>
      <c r="D3" s="146"/>
      <c r="E3" s="146"/>
    </row>
    <row r="4" spans="2:6" ht="15.95" customHeight="1" x14ac:dyDescent="0.25">
      <c r="C4" s="38" t="str">
        <f>CONCATENATE("= ",'2. Properties'!$D$28," + ",'2. Properties'!$D$29)</f>
        <v>= 1200 + 600</v>
      </c>
      <c r="D4" s="7">
        <f>'2. Properties'!$D$28+'2. Properties'!$D$29</f>
        <v>1800</v>
      </c>
      <c r="E4" s="43" t="s">
        <v>248</v>
      </c>
    </row>
    <row r="5" spans="2:6" ht="15.95" customHeight="1" x14ac:dyDescent="0.25">
      <c r="B5" s="20" t="s">
        <v>93</v>
      </c>
      <c r="C5" s="38" t="str">
        <f>CONCATENATE(" ",'2. Properties'!$D$30," / 2")</f>
        <v xml:space="preserve"> 380 / 2</v>
      </c>
      <c r="D5" s="7">
        <f>'2. Properties'!$D$30/2</f>
        <v>190</v>
      </c>
      <c r="E5" s="43" t="s">
        <v>248</v>
      </c>
    </row>
    <row r="6" spans="2:6" ht="15.95" customHeight="1" x14ac:dyDescent="0.25">
      <c r="B6" s="20" t="s">
        <v>100</v>
      </c>
      <c r="C6" s="38" t="str">
        <f>CONCATENATE(" ",'2. Properties'!$D$31," / 2")</f>
        <v xml:space="preserve"> 50 / 2</v>
      </c>
      <c r="D6" s="7">
        <f>'2. Properties'!$D$31/2</f>
        <v>25</v>
      </c>
      <c r="E6" s="43" t="s">
        <v>248</v>
      </c>
    </row>
    <row r="7" spans="2:6" ht="15.95" customHeight="1" x14ac:dyDescent="0.25">
      <c r="B7" s="20" t="s">
        <v>196</v>
      </c>
      <c r="C7" s="147" t="s">
        <v>270</v>
      </c>
      <c r="D7" s="146"/>
      <c r="E7" s="146"/>
    </row>
    <row r="8" spans="2:6" ht="15.95" customHeight="1" x14ac:dyDescent="0.25">
      <c r="C8" s="38" t="str">
        <f>CONCATENATE("= ",'2. Properties'!$D$30," / ",FIXED('2. Properties'!D24/1000,1,TRUE))</f>
        <v>= 380 / 7.0</v>
      </c>
      <c r="D8" s="8">
        <f>'2. Properties'!$D$30/('2. Properties'!D24/1000)</f>
        <v>54.285714285714285</v>
      </c>
      <c r="E8" s="43" t="s">
        <v>248</v>
      </c>
    </row>
    <row r="9" spans="2:6" ht="15.95" customHeight="1" x14ac:dyDescent="0.25">
      <c r="B9" s="20" t="s">
        <v>197</v>
      </c>
      <c r="C9" s="147" t="s">
        <v>271</v>
      </c>
      <c r="D9" s="146"/>
      <c r="E9" s="146"/>
    </row>
    <row r="10" spans="2:6" ht="15.95" customHeight="1" x14ac:dyDescent="0.25">
      <c r="C10" s="38" t="str">
        <f>CONCATENATE("= ",'2. Properties'!$D$31," / ",FIXED('2. Properties'!D24/1000,1,TRUE))</f>
        <v>= 50 / 7.0</v>
      </c>
      <c r="D10" s="8">
        <f>'2. Properties'!$D$31/('2. Properties'!D25/1000)</f>
        <v>7.1428571428571432</v>
      </c>
      <c r="E10" s="43" t="s">
        <v>248</v>
      </c>
    </row>
    <row r="11" spans="2:6" ht="15.95" customHeight="1" x14ac:dyDescent="0.25">
      <c r="C11" s="38"/>
      <c r="D11" s="103"/>
      <c r="E11" s="43"/>
    </row>
    <row r="12" spans="2:6" ht="15.95" customHeight="1" x14ac:dyDescent="0.25">
      <c r="C12" s="64" t="s">
        <v>295</v>
      </c>
    </row>
    <row r="13" spans="2:6" ht="15.95" customHeight="1" x14ac:dyDescent="0.25">
      <c r="C13" s="25"/>
    </row>
    <row r="14" spans="2:6" ht="15.95" customHeight="1" x14ac:dyDescent="0.25">
      <c r="C14" s="70" t="s">
        <v>244</v>
      </c>
    </row>
    <row r="15" spans="2:6" ht="15.95" customHeight="1" x14ac:dyDescent="0.25">
      <c r="B15" s="20" t="s">
        <v>198</v>
      </c>
      <c r="C15" s="145" t="s">
        <v>199</v>
      </c>
      <c r="D15" s="146"/>
      <c r="E15" s="146"/>
    </row>
    <row r="16" spans="2:6" ht="15.95" customHeight="1" x14ac:dyDescent="0.25">
      <c r="C16" s="38" t="str">
        <f>CONCATENATE("= 2 x ",FIXED('2. Properties'!$D$37,0,TRUE)," x ",FIXED('2. Properties'!$D$38,0,TRUE)," + (",FIXED('2. Properties'!$D$36,0,TRUE)," - 2 x ",FIXED('2. Properties'!$D$38,0,TRUE),") x ",FIXED('2. Properties'!$D$39,0,TRUE))</f>
        <v>= 2 x 256 x 17 + (260 - 2 x 17) x 11</v>
      </c>
      <c r="D16" s="8">
        <f>2*'2. Properties'!$D$37*'2. Properties'!$D$38+('2. Properties'!$D$36-2*'2. Properties'!$D$38)*'2. Properties'!$D$39</f>
        <v>11224.300000000001</v>
      </c>
      <c r="E16" s="43" t="s">
        <v>250</v>
      </c>
      <c r="F16" s="19"/>
    </row>
    <row r="17" spans="2:6" ht="15.95" customHeight="1" x14ac:dyDescent="0.25">
      <c r="B17" s="20" t="s">
        <v>200</v>
      </c>
      <c r="C17" s="145" t="s">
        <v>201</v>
      </c>
      <c r="D17" s="146"/>
      <c r="E17" s="146"/>
    </row>
    <row r="18" spans="2:6" ht="15.95" customHeight="1" x14ac:dyDescent="0.25">
      <c r="C18" s="38" t="str">
        <f>CONCATENATE("= (",FIXED('2. Properties'!$D$37,0,TRUE)," x ",FIXED('2. Properties'!$D$36,0,TRUE),"^3 - (",FIXED('2. Properties'!$D$37,0,TRUE)," - ",FIXED('2. Properties'!$D$39,0,TRUE),") x (",FIXED('2. Properties'!$D$36,0,TRUE)," - 2 x ",FIXED('2. Properties'!$D$38,0,TRUE),")^3) / 12")</f>
        <v>= (256 x 260^3 - (256 - 11) x (260 - 2 x 17)^3) / 12</v>
      </c>
      <c r="D18" s="104">
        <f>('2. Properties'!$D$37*'2. Properties'!$D$36^3-('2. Properties'!$D$37-'2. Properties'!$D$39)*('2. Properties'!$D$36-2*'2. Properties'!$D$38)^3)/12</f>
        <v>140676408.9823333</v>
      </c>
      <c r="E18" s="43" t="s">
        <v>251</v>
      </c>
      <c r="F18" s="19"/>
    </row>
    <row r="19" spans="2:6" ht="15.95" customHeight="1" x14ac:dyDescent="0.25">
      <c r="B19" s="20" t="s">
        <v>202</v>
      </c>
      <c r="C19" s="145" t="s">
        <v>203</v>
      </c>
      <c r="D19" s="146"/>
      <c r="E19" s="146"/>
    </row>
    <row r="20" spans="2:6" ht="15.95" customHeight="1" x14ac:dyDescent="0.25">
      <c r="C20" s="38" t="str">
        <f>CONCATENATE("= (2 x ",FIXED('2. Properties'!$D$38,0,TRUE)," x ",FIXED('2. Properties'!$D$37,0,TRUE),"^3 + (",FIXED('2. Properties'!$D$36,0,TRUE)," - 2 x ",FIXED('2. Properties'!$D$38,0,TRUE),") x ",FIXED('2. Properties'!$D$39,0,TRUE),"^3) / 12")</f>
        <v>= (2 x 17 x 256^3 + (260 - 2 x 17) x 11^3) / 12</v>
      </c>
      <c r="D20" s="8">
        <f>(2*'2. Properties'!$D$38*'2. Properties'!$D$37^3+('2. Properties'!$D$36-2*'2. Properties'!$D$38)*'2. Properties'!$D$39^3)/12</f>
        <v>48396050.189583331</v>
      </c>
      <c r="E20" s="43" t="s">
        <v>251</v>
      </c>
      <c r="F20" s="19"/>
    </row>
    <row r="21" spans="2:6" ht="15.95" customHeight="1" x14ac:dyDescent="0.25">
      <c r="B21" s="20" t="s">
        <v>204</v>
      </c>
      <c r="C21" s="145" t="s">
        <v>205</v>
      </c>
      <c r="D21" s="146"/>
      <c r="E21" s="146"/>
    </row>
    <row r="22" spans="2:6" ht="15.95" customHeight="1" x14ac:dyDescent="0.25">
      <c r="C22" s="38" t="str">
        <f>CONCATENATE("= ",FIXED('2. Properties'!$D$37,0,TRUE)," x ",FIXED('2. Properties'!$D$36,0,TRUE),"^2 / 4 - (",FIXED('2. Properties'!$D$37,0,TRUE)," - ",FIXED('2. Properties'!$D$39,0,TRUE),") x (",FIXED('2. Properties'!$D$36,0,TRUE)," - 2 x ",FIXED('2. Properties'!$D$38,0,TRUE),")^2 / 4")</f>
        <v>= 256 x 260^2 / 4 - (256 - 11) x (260 - 2 x 17)^2 / 4</v>
      </c>
      <c r="D22" s="14">
        <f>'2. Properties'!$D$37*'2. Properties'!$D$36^2/4-('2. Properties'!$D$37-'2. Properties'!$D$39)*('2. Properties'!$D$36-2*'2. Properties'!$D$38)^2/4</f>
        <v>1208233.3049999997</v>
      </c>
      <c r="E22" s="43" t="s">
        <v>252</v>
      </c>
      <c r="F22" s="26" t="s">
        <v>222</v>
      </c>
    </row>
    <row r="23" spans="2:6" ht="15.95" customHeight="1" x14ac:dyDescent="0.25">
      <c r="B23" s="20" t="s">
        <v>206</v>
      </c>
      <c r="C23" s="145" t="s">
        <v>207</v>
      </c>
      <c r="D23" s="146"/>
      <c r="E23" s="146"/>
    </row>
    <row r="24" spans="2:6" ht="15.95" customHeight="1" x14ac:dyDescent="0.25">
      <c r="C24" s="38" t="str">
        <f>CONCATENATE("= ",FIXED('2. Properties'!$D$38,0,TRUE)," x ",FIXED('2. Properties'!$D$37,0,TRUE),"^2 / 2 + (",FIXED('2. Properties'!$D$36,0,TRUE)," - 2 x ",FIXED('2. Properties'!$D$38,0,TRUE),") x ",FIXED('2. Properties'!$D$39,0,TRUE),"^2 / 4")</f>
        <v>= 17 x 256^2 / 2 + (260 - 2 x 17) x 11^2 / 4</v>
      </c>
      <c r="D24" s="14">
        <f>'2. Properties'!$D$38*'2. Properties'!$D$37^2/2+('2. Properties'!$D$36-2*'2. Properties'!$D$38)*'2. Properties'!$D$39^2/4</f>
        <v>573098.98750000005</v>
      </c>
      <c r="E24" s="43" t="s">
        <v>252</v>
      </c>
      <c r="F24" s="26" t="s">
        <v>222</v>
      </c>
    </row>
    <row r="26" spans="2:6" ht="15.95" customHeight="1" x14ac:dyDescent="0.25">
      <c r="C26" s="70" t="s">
        <v>272</v>
      </c>
    </row>
    <row r="27" spans="2:6" ht="15.95" customHeight="1" x14ac:dyDescent="0.25">
      <c r="B27" s="20" t="s">
        <v>209</v>
      </c>
      <c r="C27" s="19" t="s">
        <v>210</v>
      </c>
    </row>
    <row r="28" spans="2:6" ht="15.95" customHeight="1" x14ac:dyDescent="0.25">
      <c r="B28" s="20"/>
      <c r="C28" s="38" t="str">
        <f>CONCATENATE("= π x ",FIXED('2. Properties'!$D$40,0,TRUE),"^2 / 4")</f>
        <v>= π x 12^2 / 4</v>
      </c>
      <c r="D28" s="13">
        <f>PI()*'2. Properties'!$D$40^2/4</f>
        <v>113.09733552923255</v>
      </c>
      <c r="E28" s="43" t="s">
        <v>250</v>
      </c>
    </row>
    <row r="29" spans="2:6" ht="15.95" customHeight="1" x14ac:dyDescent="0.25">
      <c r="B29" s="20" t="s">
        <v>208</v>
      </c>
      <c r="C29" s="40" t="s">
        <v>274</v>
      </c>
      <c r="D29" s="70"/>
    </row>
    <row r="30" spans="2:6" ht="15.95" customHeight="1" x14ac:dyDescent="0.25">
      <c r="C30" s="38" t="str">
        <f>CONCATENATE("= ",FIXED('2. Properties'!$D$41,0,TRUE)," x π x ",FIXED('2. Properties'!$D$40,0,TRUE),"^2 / 4")</f>
        <v>= 4 x π x 12^2 / 4</v>
      </c>
      <c r="D30" s="13">
        <f>'2. Properties'!$D$41*PI()*'2. Properties'!$D$40^2/4</f>
        <v>452.38934211693021</v>
      </c>
      <c r="E30" s="43" t="s">
        <v>250</v>
      </c>
      <c r="F30" s="26"/>
    </row>
    <row r="31" spans="2:6" ht="15.95" customHeight="1" x14ac:dyDescent="0.25">
      <c r="B31" s="20" t="s">
        <v>211</v>
      </c>
      <c r="C31" s="147" t="s">
        <v>245</v>
      </c>
      <c r="D31" s="146"/>
      <c r="E31" s="146"/>
    </row>
    <row r="32" spans="2:6" ht="15.95" customHeight="1" x14ac:dyDescent="0.25">
      <c r="B32" s="20"/>
      <c r="C32" s="38" t="str">
        <f>CONCATENATE("= π x ",FIXED('2. Properties'!$D$40,0,TRUE),"^4 / 64")</f>
        <v>= π x 12^4 / 64</v>
      </c>
      <c r="D32" s="13">
        <f>PI()*'2. Properties'!$D$40^4/64</f>
        <v>1017.8760197630929</v>
      </c>
      <c r="E32" s="43" t="s">
        <v>251</v>
      </c>
    </row>
    <row r="33" spans="2:6" ht="15.95" customHeight="1" x14ac:dyDescent="0.25">
      <c r="C33" s="19"/>
    </row>
    <row r="34" spans="2:6" ht="15.95" customHeight="1" x14ac:dyDescent="0.25">
      <c r="B34" s="20" t="s">
        <v>142</v>
      </c>
      <c r="C34" s="147" t="s">
        <v>292</v>
      </c>
      <c r="D34" s="148"/>
      <c r="E34" s="148"/>
      <c r="F34" s="26" t="s">
        <v>294</v>
      </c>
    </row>
    <row r="35" spans="2:6" ht="26.25" customHeight="1" x14ac:dyDescent="0.25">
      <c r="C35" s="38" t="str">
        <f>CONCATENATE("= ",FIXED('2. Properties'!$D$41,0,TRUE)," x ",FIXED('3. Sect Props'!$D$32,1,TRUE)," + ",FIXED('2. Properties'!$D$41,0,TRUE)," x ",FIXED('3. Sect Props'!$D$28,0,TRUE)," x ",FIXED('2. Properties'!$D$42,0,TRUE),"^2")</f>
        <v>= 4 x 1017.9 + 4 x 113 x 159^2</v>
      </c>
      <c r="D35" s="71">
        <f>'2. Properties'!$D$41*'3. Sect Props'!$D$32+'2. Properties'!$D$41*'3. Sect Props'!$D$28*'2. Properties'!$D$42^2</f>
        <v>11440926.462137166</v>
      </c>
      <c r="E35" s="43" t="s">
        <v>251</v>
      </c>
      <c r="F35" s="26" t="str">
        <f>CONCATENATE("parallel-axis theorem about both axes (bars at ±",'2. Properties'!D42," from centroid)")</f>
        <v>parallel-axis theorem about both axes (bars at ±159 from centroid)</v>
      </c>
    </row>
    <row r="36" spans="2:6" ht="15.95" customHeight="1" x14ac:dyDescent="0.25">
      <c r="B36" s="20" t="s">
        <v>143</v>
      </c>
      <c r="C36" s="147" t="s">
        <v>293</v>
      </c>
      <c r="D36" s="148"/>
      <c r="E36" s="148"/>
      <c r="F36" s="26" t="s">
        <v>294</v>
      </c>
    </row>
    <row r="37" spans="2:6" ht="30.75" customHeight="1" x14ac:dyDescent="0.25">
      <c r="C37" s="38" t="str">
        <f>CONCATENATE("= ",FIXED('2. Properties'!$D$41,0,TRUE)," x ",FIXED('3. Sect Props'!$D$28,0,TRUE)," x ",FIXED('2. Properties'!$D$42,0,TRUE))</f>
        <v>= 4 x 113 x 159</v>
      </c>
      <c r="D37" s="15">
        <f>'2. Properties'!$D$41*'3. Sect Props'!$D$28*'2. Properties'!$D$42</f>
        <v>71929.905396591901</v>
      </c>
      <c r="E37" s="43" t="s">
        <v>252</v>
      </c>
      <c r="F37" s="26" t="s">
        <v>223</v>
      </c>
    </row>
    <row r="39" spans="2:6" ht="15.95" customHeight="1" x14ac:dyDescent="0.25">
      <c r="C39" s="72" t="s">
        <v>273</v>
      </c>
    </row>
    <row r="40" spans="2:6" ht="15.95" customHeight="1" x14ac:dyDescent="0.25">
      <c r="B40" s="20" t="s">
        <v>144</v>
      </c>
      <c r="C40" s="145" t="s">
        <v>145</v>
      </c>
      <c r="D40" s="146"/>
      <c r="E40" s="146"/>
    </row>
    <row r="41" spans="2:6" ht="15.95" customHeight="1" x14ac:dyDescent="0.25">
      <c r="C41" s="38" t="str">
        <f>CONCATENATE("= ",FIXED('2. Properties'!$D$34,0,TRUE)," x ",FIXED('2. Properties'!$D$35,0,TRUE)," - ",FIXED('3. Sect Props'!$D$16,0,TRUE)," - ",FIXED('3. Sect Props'!$D$30,0,TRUE))</f>
        <v>= 400 x 400 - 11224 - 452</v>
      </c>
      <c r="D41" s="71">
        <f>'2. Properties'!$D$34*'2. Properties'!$D$35-'3. Sect Props'!$D$16-'3. Sect Props'!$D$30</f>
        <v>148323.31065788309</v>
      </c>
      <c r="E41" s="43" t="s">
        <v>250</v>
      </c>
    </row>
    <row r="42" spans="2:6" ht="15.95" customHeight="1" x14ac:dyDescent="0.25">
      <c r="B42" s="20" t="s">
        <v>146</v>
      </c>
      <c r="C42" s="145" t="s">
        <v>147</v>
      </c>
      <c r="D42" s="146"/>
      <c r="E42" s="146"/>
    </row>
    <row r="43" spans="2:6" ht="15.95" customHeight="1" x14ac:dyDescent="0.25">
      <c r="C43" s="38" t="str">
        <f>CONCATENATE("=",FIXED('2. Properties'!$D$34,0,TRUE)," x ",FIXED('2. Properties'!$D$35,0,TRUE),"^3 / 12 - ",FIXED('3. Sect Props'!$D$18,0,TRUE)," - ",FIXED('3. Sect Props'!$D$35,0,TRUE))</f>
        <v>=400 x 400^3 / 12 - 140676409 - 11440926</v>
      </c>
      <c r="D43" s="71">
        <f>'2. Properties'!$D$34*'2. Properties'!$D$35^3/12-'3. Sect Props'!$D$18-'3. Sect Props'!$D$35</f>
        <v>1981215997.8888626</v>
      </c>
      <c r="E43" s="43" t="s">
        <v>251</v>
      </c>
    </row>
    <row r="44" spans="2:6" ht="15.95" customHeight="1" x14ac:dyDescent="0.25">
      <c r="B44" s="20" t="s">
        <v>148</v>
      </c>
      <c r="C44" s="145" t="s">
        <v>149</v>
      </c>
      <c r="D44" s="146"/>
      <c r="E44" s="146"/>
    </row>
    <row r="45" spans="2:6" ht="15.95" customHeight="1" x14ac:dyDescent="0.25">
      <c r="C45" s="38" t="str">
        <f>CONCATENATE("= ",FIXED('2. Properties'!$D$35,0,TRUE)," x ",FIXED('2. Properties'!$D$34,0,TRUE),"^3 / 12 - ",FIXED('3. Sect Props'!$D$20,0,TRUE)," - ",FIXED('3. Sect Props'!$D$35,0,TRUE))</f>
        <v>= 400 x 400^3 / 12 - 48396050 - 11440926</v>
      </c>
      <c r="D45" s="71">
        <f>'2. Properties'!$D$35*'2. Properties'!$D$34^3/12-'3. Sect Props'!$D$20-'3. Sect Props'!$D$35</f>
        <v>2073496356.6816127</v>
      </c>
      <c r="E45" s="43" t="s">
        <v>251</v>
      </c>
    </row>
    <row r="46" spans="2:6" ht="15.95" customHeight="1" x14ac:dyDescent="0.25">
      <c r="B46" s="20" t="s">
        <v>150</v>
      </c>
      <c r="C46" s="145" t="s">
        <v>151</v>
      </c>
      <c r="D46" s="146"/>
      <c r="E46" s="146"/>
    </row>
    <row r="47" spans="2:6" ht="15.95" customHeight="1" x14ac:dyDescent="0.25">
      <c r="C47" s="38" t="str">
        <f>CONCATENATE("= ",FIXED('2. Properties'!$D$34,0,TRUE)," x ",FIXED('2. Properties'!$D$35,0,TRUE),"^2 / 4 - ",FIXED('3. Sect Props'!$D$22,0,TRUE)," - ",FIXED('3. Sect Props'!$D$37,0,TRUE))</f>
        <v>= 400 x 400^2 / 4 - 1208233 - 71930</v>
      </c>
      <c r="D47" s="71">
        <f>'2. Properties'!$D$34*'2. Properties'!$D$35^2/4-'3. Sect Props'!$D$22-'3. Sect Props'!$D$37</f>
        <v>14719836.789603408</v>
      </c>
      <c r="E47" s="43" t="s">
        <v>252</v>
      </c>
    </row>
    <row r="48" spans="2:6" ht="15.95" customHeight="1" x14ac:dyDescent="0.25">
      <c r="B48" s="20" t="s">
        <v>152</v>
      </c>
      <c r="C48" s="145" t="s">
        <v>153</v>
      </c>
      <c r="D48" s="146"/>
      <c r="E48" s="146"/>
    </row>
    <row r="49" spans="3:5" ht="15.95" customHeight="1" x14ac:dyDescent="0.25">
      <c r="C49" s="38" t="str">
        <f>CONCATENATE("= ",FIXED('2. Properties'!$D$35,0,TRUE)," x ",FIXED('2. Properties'!$D$34,0,TRUE),"^2 / 4 - ",FIXED('3. Sect Props'!$D$24,0,TRUE)," - ",FIXED('3. Sect Props'!$D$37,0,TRUE))</f>
        <v>= 400 x 400^2 / 4 - 573099 - 71930</v>
      </c>
      <c r="D49" s="71">
        <f>'2. Properties'!$D$35*'2. Properties'!$D$34^2/4-'3. Sect Props'!$D$24-'3. Sect Props'!$D$37</f>
        <v>15354971.107103407</v>
      </c>
      <c r="E49" s="43" t="s">
        <v>252</v>
      </c>
    </row>
  </sheetData>
  <mergeCells count="16">
    <mergeCell ref="C46:E46"/>
    <mergeCell ref="C48:E48"/>
    <mergeCell ref="C40:E40"/>
    <mergeCell ref="C44:E44"/>
    <mergeCell ref="C42:E42"/>
    <mergeCell ref="C36:E36"/>
    <mergeCell ref="C31:E31"/>
    <mergeCell ref="C19:E19"/>
    <mergeCell ref="C23:E23"/>
    <mergeCell ref="C21:E21"/>
    <mergeCell ref="C3:E3"/>
    <mergeCell ref="C9:E9"/>
    <mergeCell ref="C7:E7"/>
    <mergeCell ref="C15:E15"/>
    <mergeCell ref="C34:E34"/>
    <mergeCell ref="C17:E17"/>
  </mergeCells>
  <pageMargins left="0.55118110236220474" right="0.55118110236220474" top="0.51181102362204722" bottom="0.51181102362204722" header="0.23622047244094491" footer="0.23622047244094491"/>
  <pageSetup scale="87" firstPageNumber="5" fitToHeight="4" orientation="portrait" useFirstPageNumber="1" r:id="rId1"/>
  <headerFooter>
    <oddFooter xml:space="preserve">&amp;R&amp;"Times New Roman,Regular"&amp;8 Calculation as per IS 11384:2022 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16"/>
  <sheetViews>
    <sheetView view="pageBreakPreview" zoomScale="130" zoomScaleNormal="100" zoomScaleSheetLayoutView="130" workbookViewId="0">
      <selection activeCell="G7" sqref="G7"/>
    </sheetView>
  </sheetViews>
  <sheetFormatPr defaultRowHeight="14.25" x14ac:dyDescent="0.25"/>
  <cols>
    <col min="1" max="1" width="2.140625" style="18" customWidth="1"/>
    <col min="2" max="2" width="15.7109375" style="18" customWidth="1"/>
    <col min="3" max="3" width="49.85546875" style="18" customWidth="1"/>
    <col min="4" max="4" width="5.85546875" style="18" customWidth="1"/>
    <col min="5" max="5" width="13.28515625" style="18" customWidth="1"/>
    <col min="6" max="6" width="6.5703125" style="18" customWidth="1"/>
    <col min="7" max="7" width="27.5703125" style="117" customWidth="1"/>
    <col min="8" max="18" width="9.140625" style="18"/>
    <col min="19" max="19" width="9.5703125" style="18" bestFit="1" customWidth="1"/>
    <col min="20" max="20" width="10.7109375" style="18" bestFit="1" customWidth="1"/>
    <col min="21" max="16384" width="9.140625" style="18"/>
  </cols>
  <sheetData>
    <row r="1" spans="2:7" ht="15.75" x14ac:dyDescent="0.25">
      <c r="C1" s="64" t="s">
        <v>290</v>
      </c>
      <c r="D1" s="25"/>
    </row>
    <row r="3" spans="2:7" ht="15.95" customHeight="1" x14ac:dyDescent="0.25">
      <c r="B3" s="20" t="s">
        <v>154</v>
      </c>
      <c r="C3" s="18" t="s">
        <v>155</v>
      </c>
      <c r="E3" s="71">
        <f>'2. Properties'!$D$28</f>
        <v>1200</v>
      </c>
      <c r="F3" s="43" t="s">
        <v>248</v>
      </c>
    </row>
    <row r="4" spans="2:7" ht="15.95" customHeight="1" x14ac:dyDescent="0.25">
      <c r="B4" s="20" t="s">
        <v>156</v>
      </c>
      <c r="C4" s="145" t="s">
        <v>157</v>
      </c>
      <c r="D4" s="145"/>
      <c r="E4" s="146"/>
      <c r="F4" s="146"/>
    </row>
    <row r="5" spans="2:7" ht="15.95" customHeight="1" x14ac:dyDescent="0.25">
      <c r="C5" s="38" t="str">
        <f>CONCATENATE("= ",FIXED('2. Properties'!$D$28,0,TRUE)," + ",FIXED('2. Properties'!$D$29,0,TRUE))</f>
        <v>= 1200 + 600</v>
      </c>
      <c r="D5" s="38"/>
      <c r="E5" s="71">
        <f>'2. Properties'!$D$28+'2. Properties'!$D$29</f>
        <v>1800</v>
      </c>
      <c r="F5" s="43" t="s">
        <v>248</v>
      </c>
    </row>
    <row r="6" spans="2:7" ht="15.95" customHeight="1" x14ac:dyDescent="0.25">
      <c r="B6" s="20" t="s">
        <v>158</v>
      </c>
      <c r="C6" s="145" t="s">
        <v>159</v>
      </c>
      <c r="D6" s="145"/>
      <c r="E6" s="146"/>
      <c r="F6" s="146"/>
    </row>
    <row r="7" spans="2:7" ht="30" customHeight="1" x14ac:dyDescent="0.25">
      <c r="C7" s="38" t="str">
        <f>CONCATENATE("= ((",FIXED('2. Properties'!$D$4,0,TRUE)," x ",FIXED('3. Sect Props'!$D$18,0,TRUE)," + 0.6 x ",FIXED('2. Properties'!$D$9,0,TRUE)," x ",FIXED('3. Sect Props'!$D$43,0,TRUE)," + ",FIXED('2. Properties'!$D$17,0,TRUE)," x ",FIXED('3. Sect Props'!$D$35,0,TRUE),") / 10^9)")</f>
        <v>= ((210000 x 140676409 + 0.6 x 27386 x 1981215998 + 200000 x 11440926) / 10^9)</v>
      </c>
      <c r="D7" s="38"/>
      <c r="E7" s="13">
        <f>('2. Properties'!$D$4*'3. Sect Props'!$D$18+0.6*'2. Properties'!$D$9*'3. Sect Props'!$D$43+'2. Properties'!$D$17*'3. Sect Props'!$D$35)/10^9</f>
        <v>64384.779969628056</v>
      </c>
      <c r="F7" s="43" t="s">
        <v>253</v>
      </c>
      <c r="G7" s="116" t="s">
        <v>300</v>
      </c>
    </row>
    <row r="8" spans="2:7" ht="15.95" customHeight="1" x14ac:dyDescent="0.25">
      <c r="B8" s="20" t="s">
        <v>160</v>
      </c>
      <c r="C8" s="145" t="s">
        <v>161</v>
      </c>
      <c r="D8" s="145"/>
      <c r="E8" s="146"/>
      <c r="F8" s="146"/>
    </row>
    <row r="9" spans="2:7" ht="30" customHeight="1" x14ac:dyDescent="0.25">
      <c r="C9" s="38" t="str">
        <f>CONCATENATE("= ((",FIXED('2. Properties'!$D$4,0,TRUE)," x ",FIXED('3. Sect Props'!$D$20,0,TRUE)," + 0.6 x ",FIXED('2. Properties'!$D$9,0,TRUE)," x ",FIXED('3. Sect Props'!$D$45,0,TRUE)," + ",FIXED('2. Properties'!$D$17,0,TRUE)," x ",FIXED('3. Sect Props'!$D$35,0,TRUE),") / 10^9)")</f>
        <v>= ((210000 x 48396050 + 0.6 x 27386 x 2073496357 + 200000 x 11440926) / 10^9)</v>
      </c>
      <c r="D9" s="38"/>
      <c r="E9" s="13">
        <f>('2. Properties'!$D$4*'3. Sect Props'!$D$20+0.6*'2. Properties'!$D$9*'3. Sect Props'!$D$45+'2. Properties'!$D$17*'3. Sect Props'!$D$35)/10^9</f>
        <v>46522.218566689517</v>
      </c>
      <c r="F9" s="43" t="s">
        <v>253</v>
      </c>
    </row>
    <row r="10" spans="2:7" ht="15.95" customHeight="1" x14ac:dyDescent="0.25">
      <c r="B10" s="20" t="s">
        <v>162</v>
      </c>
      <c r="C10" s="145" t="s">
        <v>163</v>
      </c>
      <c r="D10" s="145"/>
      <c r="E10" s="146"/>
      <c r="F10" s="146"/>
    </row>
    <row r="11" spans="2:7" ht="15.95" customHeight="1" x14ac:dyDescent="0.25">
      <c r="C11" s="38" t="str">
        <f>CONCATENATE("= π^2 x ",FIXED('4. z-Buckling'!$E$7,1,TRUE)," / (",FIXED('2. Properties'!$D$23,0,TRUE)," x ",'2. Properties'!D25/1000,")^2")</f>
        <v>= π^2 x 64384.8 / (1 x 7)^2</v>
      </c>
      <c r="D11" s="38"/>
      <c r="E11" s="13">
        <f>PI()^2*'4. z-Buckling'!$E$7/(('2. Properties'!$D$23*'2. Properties'!D25/1000)^2)</f>
        <v>12968.414443906348</v>
      </c>
      <c r="F11" s="43" t="s">
        <v>248</v>
      </c>
      <c r="G11" s="116" t="str">
        <f>CONCATENATE("Lz = ",'2. Properties'!D25/1000," m = ",'2. Properties'!D25,"mm")</f>
        <v>Lz = 7 m = 7000mm</v>
      </c>
    </row>
    <row r="12" spans="2:7" ht="15.95" customHeight="1" x14ac:dyDescent="0.25">
      <c r="B12" s="20" t="s">
        <v>164</v>
      </c>
      <c r="C12" s="145" t="s">
        <v>165</v>
      </c>
      <c r="D12" s="145"/>
      <c r="E12" s="146"/>
      <c r="F12" s="146"/>
    </row>
    <row r="13" spans="2:7" ht="15.95" customHeight="1" x14ac:dyDescent="0.25">
      <c r="C13" s="38" t="str">
        <f>CONCATENATE("= π^2 x ",FIXED('4. z-Buckling'!$E$9,1,TRUE)," / (",FIXED('2. Properties'!$D$22,0,TRUE)," x ",'2. Properties'!D24/1000,")^2")</f>
        <v>= π^2 x 46522.2 / (1 x 7)^2</v>
      </c>
      <c r="D13" s="38"/>
      <c r="E13" s="13">
        <f>PI()^2*'4. z-Buckling'!$E$9/(('2. Properties'!$D$22*'2. Properties'!D24/1000)^2)</f>
        <v>9370.5284309028557</v>
      </c>
      <c r="F13" s="43" t="s">
        <v>248</v>
      </c>
      <c r="G13" s="116" t="str">
        <f>CONCATENATE("Ly = ",'2. Properties'!D24/1000," m = ",'2. Properties'!D24,"mm")</f>
        <v>Ly = 7 m = 7000mm</v>
      </c>
    </row>
    <row r="14" spans="2:7" ht="15.95" customHeight="1" x14ac:dyDescent="0.25">
      <c r="B14" s="20" t="s">
        <v>166</v>
      </c>
      <c r="C14" s="147" t="s">
        <v>275</v>
      </c>
      <c r="D14" s="147"/>
      <c r="E14" s="146"/>
      <c r="F14" s="146"/>
    </row>
    <row r="15" spans="2:7" ht="30" customHeight="1" x14ac:dyDescent="0.25">
      <c r="C15" s="38" t="str">
        <f>CONCATENATE("= (",FIXED('3. Sect Props'!$D$16,1,TRUE)," x ",FIXED('2. Properties'!$D$5,0,TRUE)," + ",FIXED('3. Sect Props'!$D$30,1,TRUE)," x ",FIXED('2. Properties'!$D$18,0,TRUE)," + 0.8 x ",FIXED('3. Sect Props'!$D$41,1,TRUE)," x ",FIXED('2. Properties'!$D$12,2,TRUE)," x ",FIXED('2. Properties'!$D$10,0,TRUE),") / 1000")</f>
        <v>= (11224.3 x 345 + 452.4 x 415 + 0.8 x 148323.3 x 0.85 x 30) / 1000</v>
      </c>
      <c r="D15" s="38"/>
      <c r="E15" s="13">
        <f>('3. Sect Props'!$D$16*'2. Properties'!$D$5+'3. Sect Props'!$D$30*'2. Properties'!$D$18+0.8*'3. Sect Props'!$D$41*'2. Properties'!$D$12*'2. Properties'!$D$10)/1000</f>
        <v>7085.9206143993415</v>
      </c>
      <c r="F15" s="43" t="s">
        <v>248</v>
      </c>
      <c r="G15" s="118" t="s">
        <v>301</v>
      </c>
    </row>
    <row r="16" spans="2:7" ht="15.95" customHeight="1" x14ac:dyDescent="0.25"/>
    <row r="17" spans="2:9" ht="15.95" customHeight="1" x14ac:dyDescent="0.25">
      <c r="B17" s="20" t="s">
        <v>124</v>
      </c>
      <c r="C17" s="145" t="s">
        <v>125</v>
      </c>
      <c r="D17" s="145"/>
      <c r="E17" s="146"/>
      <c r="F17" s="146"/>
    </row>
    <row r="18" spans="2:9" ht="30" customHeight="1" x14ac:dyDescent="0.25">
      <c r="C18" s="38" t="str">
        <f>CONCATENATE("= (",FIXED('3. Sect Props'!$D$16,1,TRUE)," x ",FIXED('2. Properties'!$D$5,0,TRUE)," / ",FIXED('2. Properties'!$D$6,0,TRUE)," + ",FIXED('3. Sect Props'!$D$30,1,TRUE)," x ",FIXED('2. Properties'!$D$18,0,TRUE)," / ",FIXED('2. Properties'!$D$19,0,TRUE)," + 0.68 x ",FIXED('3. Sect Props'!$D$41,1,TRUE)," x ",FIXED('2. Properties'!$D$10,0,TRUE)," / ",FIXED('2. Properties'!$D$11,0,TRUE),") / 1000")</f>
        <v>= (11224.3 x 345 / 1 + 452.4 x 415 / 1 + 0.68 x 148323.3 x 30 / 2) / 1000</v>
      </c>
      <c r="D18" s="38"/>
      <c r="E18" s="8">
        <f>('3. Sect Props'!$D$16*'2. Properties'!$D$5/'2. Properties'!$D$6+'3. Sect Props'!$D$30*'2. Properties'!$D$18/'2. Properties'!$D$19+0.68*'3. Sect Props'!$D$41*'2. Properties'!$D$10/'2. Properties'!$D$11)/1000</f>
        <v>5700.799206509565</v>
      </c>
      <c r="F18" s="43" t="s">
        <v>248</v>
      </c>
      <c r="G18" s="118" t="s">
        <v>302</v>
      </c>
    </row>
    <row r="19" spans="2:9" ht="15.95" customHeight="1" x14ac:dyDescent="0.25">
      <c r="B19" s="20" t="s">
        <v>126</v>
      </c>
      <c r="C19" s="145" t="s">
        <v>127</v>
      </c>
      <c r="D19" s="145"/>
      <c r="E19" s="146"/>
      <c r="F19" s="146"/>
    </row>
    <row r="20" spans="2:9" ht="15.95" customHeight="1" x14ac:dyDescent="0.25">
      <c r="C20" s="38" t="str">
        <f>CONCATENATE("= ",FIXED('3. Sect Props'!$D$16,1,TRUE)," x ",FIXED('2. Properties'!$D$5,0,TRUE)," / (",FIXED('4. z-Buckling'!$E$18,1,TRUE)," x 1000 x ",FIXED('2. Properties'!$D$6,0,TRUE),")")</f>
        <v>= 11224.3 x 345 / (5700.8 x 1000 x 1)</v>
      </c>
      <c r="D20" s="38"/>
      <c r="E20" s="13">
        <f>'3. Sect Props'!$D$16*'2. Properties'!$D$5/('4. z-Buckling'!$E$18*1000*'2. Properties'!$D$6)</f>
        <v>0.61751844063265027</v>
      </c>
      <c r="F20" s="6"/>
    </row>
    <row r="21" spans="2:9" ht="15.95" customHeight="1" x14ac:dyDescent="0.25">
      <c r="C21" s="112" t="str">
        <f>"→ 0.2 &lt; δ = "&amp;TEXT('4. z-Buckling'!$E$20,"0.00")&amp;" &lt; 0.9"</f>
        <v>→ 0.2 &lt; δ = 0.62 &lt; 0.9</v>
      </c>
      <c r="D21" s="73"/>
    </row>
    <row r="22" spans="2:9" ht="15.95" customHeight="1" x14ac:dyDescent="0.25">
      <c r="B22" s="20" t="s">
        <v>128</v>
      </c>
      <c r="C22" s="145" t="s">
        <v>129</v>
      </c>
      <c r="D22" s="145"/>
      <c r="E22" s="146"/>
      <c r="F22" s="146"/>
    </row>
    <row r="23" spans="2:9" ht="15.95" customHeight="1" x14ac:dyDescent="0.25">
      <c r="C23" s="38" t="str">
        <f>CONCATENATE("= √(",FIXED('4. z-Buckling'!$E$15,1,TRUE)," / ",FIXED('4. z-Buckling'!$E$11,1,TRUE),")")</f>
        <v>= √(7085.9 / 12968.4)</v>
      </c>
      <c r="D23" s="38"/>
      <c r="E23" s="13">
        <f>SQRT('4. z-Buckling'!$E$15/'4. z-Buckling'!$E$11)</f>
        <v>0.73918764719791585</v>
      </c>
      <c r="F23" s="6"/>
    </row>
    <row r="24" spans="2:9" ht="15.95" customHeight="1" x14ac:dyDescent="0.25">
      <c r="B24" s="20" t="s">
        <v>130</v>
      </c>
      <c r="C24" s="145" t="s">
        <v>131</v>
      </c>
      <c r="D24" s="145"/>
      <c r="E24" s="146"/>
      <c r="F24" s="146"/>
    </row>
    <row r="25" spans="2:9" ht="15.95" customHeight="1" x14ac:dyDescent="0.25">
      <c r="C25" s="38" t="str">
        <f>CONCATENATE("= √(",FIXED('4. z-Buckling'!$E$15,1,TRUE)," / ",FIXED('4. z-Buckling'!$E$13,1,TRUE),")")</f>
        <v>= √(7085.9 / 9370.5)</v>
      </c>
      <c r="D25" s="38"/>
      <c r="E25" s="13">
        <f>SQRT('4. z-Buckling'!$E$15/'4. z-Buckling'!$E$13)</f>
        <v>0.8695931296951851</v>
      </c>
      <c r="F25" s="6"/>
    </row>
    <row r="26" spans="2:9" ht="39.950000000000003" customHeight="1" x14ac:dyDescent="0.25">
      <c r="C26" s="112" t="str">
        <f>"As 0.2 &lt; δ = "&amp;TEXT('4. z-Buckling'!$E$20,"0.00")&amp;" &lt; 0.9 and λz = "&amp;TEXT('4. z-Buckling'!$E$23,"0.00")&amp;" &lt; 2.0 and λy = "&amp;TEXT('4. z-Buckling'!$E$25,"0.00")&amp;" &lt; 2.0 → the simplified method can be used."</f>
        <v>As 0.2 &lt; δ = 0.62 &lt; 0.9 and λz = 0.74 &lt; 2.0 and λy = 0.87 &lt; 2.0 → the simplified method can be used.</v>
      </c>
      <c r="D26" s="73"/>
      <c r="I26" s="47"/>
    </row>
    <row r="27" spans="2:9" ht="15.95" customHeight="1" x14ac:dyDescent="0.25">
      <c r="C27" s="29"/>
      <c r="D27" s="29"/>
    </row>
    <row r="28" spans="2:9" ht="15.95" customHeight="1" x14ac:dyDescent="0.25">
      <c r="C28" s="11" t="s">
        <v>66</v>
      </c>
      <c r="D28" s="6"/>
    </row>
    <row r="29" spans="2:9" ht="15.95" customHeight="1" x14ac:dyDescent="0.25"/>
    <row r="30" spans="2:9" ht="25.5" x14ac:dyDescent="0.25">
      <c r="C30" s="112" t="str">
        <f>CONCATENATE("Assume the neutral axis is in the web, i.e. hn,z ≤ h/2 − tf → Astc = ",FIXED('2. Properties'!D41/2,0)," × ",FIXED('3. Sect Props'!D28,1,TRUE)," = ",FIXED('2. Properties'!D41/2*'3. Sect Props'!D28,1,TRUE)," mm^2")</f>
        <v>Assume the neutral axis is in the web, i.e. hn,z ≤ h/2 − tf → Astc = 2 × 113.1 = 226.2 mm^2</v>
      </c>
      <c r="D30" s="73"/>
    </row>
    <row r="31" spans="2:9" ht="33.75" x14ac:dyDescent="0.25">
      <c r="B31" s="97" t="s">
        <v>132</v>
      </c>
      <c r="C31" s="38" t="str">
        <f>CONCATENATE(" 2 x ",FIXED('3. Sect Props'!$D$28,1,TRUE))</f>
        <v xml:space="preserve"> 2 x 113.1</v>
      </c>
      <c r="D31" s="38"/>
      <c r="E31" s="17">
        <f>2*'3. Sect Props'!$D$28</f>
        <v>226.1946710584651</v>
      </c>
      <c r="F31" s="43" t="s">
        <v>250</v>
      </c>
      <c r="G31" s="116" t="s">
        <v>303</v>
      </c>
    </row>
    <row r="32" spans="2:9" ht="35.1" customHeight="1" x14ac:dyDescent="0.25">
      <c r="B32" s="20" t="s">
        <v>133</v>
      </c>
      <c r="C32" s="145" t="s">
        <v>134</v>
      </c>
      <c r="D32" s="145"/>
      <c r="E32" s="146"/>
      <c r="F32" s="146"/>
    </row>
    <row r="33" spans="2:13" ht="39.950000000000003" customHeight="1" x14ac:dyDescent="0.25">
      <c r="C33" s="38" t="str">
        <f>CONCATENATE("= (0.8 x ",FIXED('3. Sect Props'!$D$41,2,TRUE)," x ",FIXED('2. Properties'!$D$12,2,TRUE)," x ",FIXED('2. Properties'!$D$10,0,TRUE)," / ",FIXED('2. Properties'!$D$11,0,TRUE)," - ",FIXED('4. z-Buckling'!$E$31,1,TRUE)," x (2 x ",FIXED('2. Properties'!$D$18,0,TRUE)," / ",FIXED('2. Properties'!$D$19,0,TRUE)," - 0.8 x ",FIXED('2. Properties'!$D$12,2,TRUE)," x ",FIXED('2. Properties'!$D$10,0,TRUE)," / ",FIXED('2. Properties'!$D$11,0,TRUE),")) / (1.6 x ",FIXED('2. Properties'!$D$34,0,TRUE)," x ",FIXED('2. Properties'!$D$12,2,TRUE)," x ",FIXED('2. Properties'!$D$10,0,TRUE)," / ",FIXED('2. Properties'!$D$11,0,TRUE)," + 2 x ",FIXED('2. Properties'!$D$39,0,TRUE)," x (2 x ",FIXED('2. Properties'!$D$5,0,TRUE)," / ",FIXED('2. Properties'!$D$6,0,TRUE)," - 0.8 x ",FIXED('2. Properties'!$D$12,2,TRUE)," x ",FIXED('2. Properties'!$D$10,0,TRUE)," / ",FIXED('2. Properties'!$D$11,0,TRUE),"))")</f>
        <v>= (0.8 x 148323.31 x 0.85 x 30 / 2 - 226.2 x (2 x 415 / 1 - 0.8 x 0.85 x 30 / 2)) / (1.6 x 400 x 0.85 x 30 / 2 + 2 x 11 x (2 x 345 / 1 - 0.8 x 0.85 x 30 / 2))</v>
      </c>
      <c r="D33" s="38"/>
      <c r="E33" s="10">
        <f>(0.8*'3. Sect Props'!$D$41*'2. Properties'!$D$12*'2. Properties'!$D$10/'2. Properties'!$D$11-'4. z-Buckling'!$E$31*(2*'2. Properties'!$D$18/'2. Properties'!$D$19-0.8*'2. Properties'!$D$12*'2. Properties'!$D$10/'2. Properties'!$D$11))/(1.6*'2. Properties'!$D$34*'2. Properties'!$D$12*'2. Properties'!$D$10/'2. Properties'!$D$11+2*'2. Properties'!$D$39*(2*'2. Properties'!$D$5/'2. Properties'!$D$6-0.8*'2. Properties'!$D$12*'2. Properties'!$D$10/'2. Properties'!$D$11))</f>
        <v>78.133958133249578</v>
      </c>
      <c r="F33" s="43" t="s">
        <v>227</v>
      </c>
      <c r="G33" s="116"/>
      <c r="K33" s="110" t="s">
        <v>297</v>
      </c>
    </row>
    <row r="34" spans="2:13" x14ac:dyDescent="0.25">
      <c r="B34" s="20" t="s">
        <v>135</v>
      </c>
      <c r="D34" s="101" t="s">
        <v>299</v>
      </c>
      <c r="E34" s="16">
        <f>CEILING(E33,0.5)</f>
        <v>78.5</v>
      </c>
      <c r="F34" s="43" t="s">
        <v>227</v>
      </c>
      <c r="I34" s="111" t="s">
        <v>298</v>
      </c>
      <c r="K34" s="18">
        <v>78.599999999999994</v>
      </c>
      <c r="L34" s="81" t="s">
        <v>227</v>
      </c>
    </row>
    <row r="35" spans="2:13" ht="25.5" x14ac:dyDescent="0.25">
      <c r="C35" s="112" t="str">
        <f>"→ h_n,z = "&amp;TEXT('4. z-Buckling'!$E$34,"0.0")&amp;" &lt; "&amp;'2. Properties'!D36/2-'2. Properties'!D38&amp;" = "&amp;'2. Properties'!D36&amp;"/2 − "&amp;'2. Properties'!D38&amp;" = h/2 − t_f → the assumption on the neutral axis is valid"</f>
        <v>→ h_n,z = 78.5 &lt; 112.7 = 260/2 − 17.3 = h/2 − t_f → the assumption on the neutral axis is valid</v>
      </c>
      <c r="D35" s="73"/>
    </row>
    <row r="36" spans="2:13" ht="15.95" customHeight="1" x14ac:dyDescent="0.25">
      <c r="B36" s="20" t="s">
        <v>136</v>
      </c>
      <c r="C36" s="145" t="s">
        <v>103</v>
      </c>
      <c r="D36" s="145"/>
      <c r="E36" s="146"/>
      <c r="F36" s="146"/>
    </row>
    <row r="37" spans="2:13" ht="15.95" customHeight="1" x14ac:dyDescent="0.25">
      <c r="C37" s="19"/>
      <c r="D37" s="19"/>
      <c r="E37" s="16">
        <f>0</f>
        <v>0</v>
      </c>
      <c r="F37" s="43" t="s">
        <v>254</v>
      </c>
      <c r="G37" s="116"/>
    </row>
    <row r="38" spans="2:13" ht="15.95" customHeight="1" x14ac:dyDescent="0.25">
      <c r="B38" s="20" t="s">
        <v>137</v>
      </c>
      <c r="C38" s="145" t="s">
        <v>138</v>
      </c>
      <c r="D38" s="145"/>
      <c r="E38" s="146"/>
      <c r="F38" s="146"/>
    </row>
    <row r="39" spans="2:13" ht="24.95" customHeight="1" x14ac:dyDescent="0.25">
      <c r="C39" s="38" t="str">
        <f>CONCATENATE("= ",FIXED('2. Properties'!$D$39,1,TRUE)," x ",FIXED('4. z-Buckling'!$E$34,1,TRUE),"^2")</f>
        <v>= 10.5 x 78.5^2</v>
      </c>
      <c r="D39" s="38"/>
      <c r="E39" s="14">
        <f>'2. Properties'!$D$39*'4. z-Buckling'!$E$34^2</f>
        <v>64703.625</v>
      </c>
      <c r="F39" s="43" t="s">
        <v>254</v>
      </c>
      <c r="G39" s="118" t="s">
        <v>304</v>
      </c>
    </row>
    <row r="40" spans="2:13" ht="15.95" customHeight="1" x14ac:dyDescent="0.25">
      <c r="B40" s="20" t="s">
        <v>139</v>
      </c>
      <c r="C40" s="145" t="s">
        <v>140</v>
      </c>
      <c r="D40" s="145"/>
      <c r="E40" s="146"/>
      <c r="F40" s="146"/>
    </row>
    <row r="41" spans="2:13" ht="24.95" customHeight="1" x14ac:dyDescent="0.25">
      <c r="C41" s="38" t="str">
        <f>CONCATENATE("= ",FIXED('2. Properties'!$D$34,0,TRUE)," x ",FIXED('4. z-Buckling'!$E$34,1,TRUE),"^2 - ",FIXED('4. z-Buckling'!$E$39,1,TRUE))</f>
        <v>= 400 x 78.5^2 - 64703.6</v>
      </c>
      <c r="D41" s="38"/>
      <c r="E41" s="15">
        <f>'2. Properties'!$D$34*'4. z-Buckling'!$E$34^2-'4. z-Buckling'!$E$39</f>
        <v>2400196.375</v>
      </c>
      <c r="F41" s="43" t="s">
        <v>254</v>
      </c>
      <c r="G41" s="118" t="s">
        <v>305</v>
      </c>
    </row>
    <row r="42" spans="2:13" ht="20.100000000000001" customHeight="1" x14ac:dyDescent="0.25">
      <c r="B42" s="20" t="s">
        <v>109</v>
      </c>
      <c r="C42" s="145" t="s">
        <v>141</v>
      </c>
      <c r="D42" s="145"/>
      <c r="E42" s="146"/>
      <c r="F42" s="146"/>
    </row>
    <row r="43" spans="2:13" ht="35.1" customHeight="1" x14ac:dyDescent="0.25">
      <c r="C43" s="38" t="str">
        <f>CONCATENATE("= (1.6 x ",FIXED('4. z-Buckling'!$E$34,1,TRUE)," x ",FIXED('2. Properties'!$D$34,0,TRUE)," x ",FIXED('2. Properties'!$D$12,0,TRUE)," x ",FIXED('2. Properties'!$D$10,0,TRUE)," / ",FIXED('2. Properties'!$D$11,0,TRUE)," + 4 x ",FIXED('4. z-Buckling'!$E$34,1,TRUE)," x ",FIXED('2. Properties'!$D$39,0,TRUE)," x (",FIXED('2. Properties'!$D$5,0,TRUE)," / ",FIXED('2. Properties'!$D$6,0,TRUE)," - 0.8 x ",FIXED('2. Properties'!$D$10,0,TRUE)," / ",FIXED('2. Properties'!$D$11,0,TRUE),")) / 1000")</f>
        <v>= (1.6 x 78.5 x 400 x 1 x 30 / 2 + 4 x 78.5 x 11 x (345 / 1 - 0.8 x 30 / 2)) / 1000</v>
      </c>
      <c r="D43" s="38"/>
      <c r="E43" s="8">
        <f>(1.6*'4. z-Buckling'!$E$34*'2. Properties'!$D$34*'2. Properties'!$D$12*'2. Properties'!$D$10/'2. Properties'!$D$11+4*'4. z-Buckling'!$E$34*'2. Properties'!$D$39*('2. Properties'!$D$5/'2. Properties'!$D$6-0.8*'2. Properties'!$D$10/'2. Properties'!$D$11))/1000</f>
        <v>1835.3870909090908</v>
      </c>
      <c r="F43" s="43" t="s">
        <v>248</v>
      </c>
      <c r="G43" s="116" t="s">
        <v>224</v>
      </c>
    </row>
    <row r="44" spans="2:13" ht="15.95" customHeight="1" x14ac:dyDescent="0.25"/>
    <row r="45" spans="2:13" ht="15.95" customHeight="1" x14ac:dyDescent="0.2">
      <c r="B45" s="20" t="s">
        <v>116</v>
      </c>
      <c r="C45" s="149" t="s">
        <v>117</v>
      </c>
      <c r="D45" s="149"/>
      <c r="E45" s="150"/>
      <c r="F45" s="150"/>
      <c r="G45" s="119"/>
    </row>
    <row r="46" spans="2:13" ht="39.950000000000003" customHeight="1" x14ac:dyDescent="0.25">
      <c r="C46" s="38" t="str">
        <f>CONCATENATE("= ((",FIXED('3. Sect Props'!$D$22,1,TRUE)," - ",FIXED('4. z-Buckling'!$E$39,0,TRUE),") x ",FIXED('2. Properties'!$D$5,0,TRUE)," / ",FIXED('2. Properties'!$D$6,0,TRUE)," + (",FIXED('3. Sect Props'!$D$37,0,TRUE)," - ",FIXED('4. z-Buckling'!$E$37,0,TRUE),") x ",FIXED('2. Properties'!$D$18,0,TRUE)," / ",FIXED('2. Properties'!$D$19,0,TRUE)," + 0.4 x ",FIXED('2. Properties'!$D$12,0,TRUE)," x (",FIXED('3. Sect Props'!$D$47,0,TRUE)," - ",FIXED('4. z-Buckling'!$E$41,0,TRUE),") x ",FIXED('2. Properties'!$D$10,0,TRUE)," / ",FIXED('2. Properties'!$D$11,0,TRUE),") / 10^6")</f>
        <v>= ((1208233.3 - 64704) x 345 / 1 + (71930 - 0) x 415 / 1 + 0.4 x 1 x (14719837 - 2400196) x 30 / 2) / 10^6</v>
      </c>
      <c r="D46" s="38"/>
      <c r="E46" s="8">
        <f>(('3. Sect Props'!$D$22-'4. z-Buckling'!$E$39)*'2. Properties'!$D$5/'2. Properties'!$D$6+('3. Sect Props'!$D$37-'4. z-Buckling'!$E$37)*'2. Properties'!$D$18/'2. Properties'!$D$19+0.4*'2. Properties'!$D$12*('3. Sect Props'!$D$47-'4. z-Buckling'!$E$41)*'2. Properties'!$D$10/'2. Properties'!$D$11)/10^6</f>
        <v>468.38335905135381</v>
      </c>
      <c r="F46" s="43" t="s">
        <v>249</v>
      </c>
      <c r="G46" s="120" t="s">
        <v>306</v>
      </c>
    </row>
    <row r="47" spans="2:13" ht="15.95" customHeight="1" x14ac:dyDescent="0.2">
      <c r="B47" s="20" t="s">
        <v>118</v>
      </c>
      <c r="C47" s="149" t="s">
        <v>119</v>
      </c>
      <c r="D47" s="149"/>
      <c r="E47" s="150"/>
      <c r="F47" s="150"/>
      <c r="G47" s="119"/>
    </row>
    <row r="48" spans="2:13" ht="35.1" customHeight="1" x14ac:dyDescent="0.25">
      <c r="C48" s="38" t="str">
        <f>CONCATENATE("= (",FIXED('3. Sect Props'!$D$22,1,TRUE)," x ",FIXED('2. Properties'!$D$5,0,TRUE)," / ",FIXED('2. Properties'!$D$6,0,TRUE)," + ",FIXED('3. Sect Props'!$D$37,0,TRUE)," x ",FIXED('2. Properties'!$D$18,0,TRUE)," / ",FIXED('2. Properties'!$D$19,0,TRUE)," + 0.4 x ",FIXED('2. Properties'!$D$12,0,TRUE)," x ",FIXED('3. Sect Props'!$D$47,0,TRUE)," x ",FIXED('2. Properties'!$D$10,0,TRUE)," / ",FIXED('2. Properties'!$D$11,0,TRUE),") / 10^6")</f>
        <v>= (1208233.3 x 345 / 1 + 71930 x 415 / 1 + 0.4 x 1 x 14719837 x 30 / 2) / 10^6</v>
      </c>
      <c r="D48" s="38"/>
      <c r="E48" s="7">
        <f>('3. Sect Props'!$D$22*'2. Properties'!$D$5/'2. Properties'!$D$6+'3. Sect Props'!$D$37*'2. Properties'!$D$18/'2. Properties'!$D$19+0.4*'2. Properties'!$D$12*'3. Sect Props'!$D$47*'2. Properties'!$D$10/'2. Properties'!$D$11)/10^6</f>
        <v>504.99810406044469</v>
      </c>
      <c r="F48" s="43" t="s">
        <v>249</v>
      </c>
      <c r="G48" s="120" t="s">
        <v>307</v>
      </c>
      <c r="I48" s="31"/>
      <c r="J48" s="75" t="s">
        <v>278</v>
      </c>
      <c r="K48" s="75" t="s">
        <v>279</v>
      </c>
      <c r="L48" s="75" t="s">
        <v>280</v>
      </c>
      <c r="M48" s="75" t="s">
        <v>281</v>
      </c>
    </row>
    <row r="49" spans="1:29" x14ac:dyDescent="0.25">
      <c r="I49" s="75" t="s">
        <v>276</v>
      </c>
      <c r="J49" s="77">
        <v>0</v>
      </c>
      <c r="K49" s="77">
        <f>'4. z-Buckling'!$E$46</f>
        <v>468.38335905135381</v>
      </c>
      <c r="L49" s="77">
        <f>'4. z-Buckling'!$E$48</f>
        <v>504.99810406044469</v>
      </c>
      <c r="M49" s="77">
        <f>K49</f>
        <v>468.38335905135381</v>
      </c>
    </row>
    <row r="50" spans="1:29" x14ac:dyDescent="0.2">
      <c r="A50" s="5"/>
      <c r="C50" s="5"/>
      <c r="D50" s="5"/>
      <c r="E50" s="5"/>
      <c r="F50" s="5"/>
      <c r="G50" s="119"/>
      <c r="H50" s="5"/>
      <c r="I50" s="76" t="s">
        <v>277</v>
      </c>
      <c r="J50" s="77">
        <f>'4. z-Buckling'!$E$18</f>
        <v>5700.799206509565</v>
      </c>
      <c r="K50" s="77">
        <f>'4. z-Buckling'!$E$43</f>
        <v>1835.3870909090908</v>
      </c>
      <c r="L50" s="77">
        <f>K50/2</f>
        <v>917.69354545454541</v>
      </c>
      <c r="M50" s="77">
        <v>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9" x14ac:dyDescent="0.2">
      <c r="A51" s="5"/>
      <c r="C51" s="1" t="s">
        <v>120</v>
      </c>
      <c r="D51" s="1"/>
      <c r="E51" s="5"/>
      <c r="F51" s="5"/>
      <c r="G51" s="11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W51" s="5"/>
      <c r="X51" s="5"/>
    </row>
    <row r="52" spans="1:29" x14ac:dyDescent="0.2">
      <c r="A52" s="5"/>
      <c r="C52" s="5"/>
      <c r="D52" s="5"/>
      <c r="E52" s="5"/>
      <c r="F52" s="5"/>
      <c r="G52" s="119"/>
      <c r="H52" s="5"/>
      <c r="I52" s="32" t="s">
        <v>1</v>
      </c>
      <c r="J52" s="32" t="s">
        <v>2</v>
      </c>
      <c r="K52" s="32" t="s">
        <v>3</v>
      </c>
      <c r="L52" s="32" t="s">
        <v>4</v>
      </c>
      <c r="M52" s="32" t="s">
        <v>5</v>
      </c>
      <c r="O52" s="5"/>
      <c r="P52" s="5"/>
      <c r="Q52" s="5"/>
      <c r="Y52" s="74" t="s">
        <v>282</v>
      </c>
      <c r="Z52" s="5"/>
    </row>
    <row r="53" spans="1:29" x14ac:dyDescent="0.2">
      <c r="A53" s="5"/>
      <c r="C53" s="5"/>
      <c r="D53" s="5"/>
      <c r="E53" s="5"/>
      <c r="F53" s="5"/>
      <c r="G53" s="119"/>
      <c r="H53" s="5"/>
      <c r="I53" s="31"/>
      <c r="J53" s="31"/>
      <c r="K53" s="31"/>
      <c r="L53" s="31"/>
      <c r="M53" s="31"/>
      <c r="O53" s="5"/>
      <c r="P53" s="5"/>
      <c r="Q53" s="5"/>
      <c r="R53" s="82" t="s">
        <v>283</v>
      </c>
      <c r="S53" s="83" t="s">
        <v>6</v>
      </c>
      <c r="T53" s="83" t="s">
        <v>7</v>
      </c>
      <c r="Y53" s="32" t="s">
        <v>1</v>
      </c>
      <c r="Z53" s="32" t="s">
        <v>2</v>
      </c>
      <c r="AA53" s="32" t="s">
        <v>3</v>
      </c>
      <c r="AB53" s="32" t="s">
        <v>4</v>
      </c>
      <c r="AC53" s="32" t="s">
        <v>5</v>
      </c>
    </row>
    <row r="54" spans="1:29" x14ac:dyDescent="0.2">
      <c r="A54" s="5"/>
      <c r="C54" s="5"/>
      <c r="D54" s="5"/>
      <c r="E54" s="34" t="str">
        <f>"P_d = "&amp;TEXT('4. z-Buckling'!$E$18,"#,##0")</f>
        <v>P_d = 5,701</v>
      </c>
      <c r="F54" s="5"/>
      <c r="G54" s="119"/>
      <c r="H54" s="5"/>
      <c r="I54" s="78">
        <v>0</v>
      </c>
      <c r="J54" s="78">
        <f>(1-I54)^2*$J$49+2*(1-I54)*I54*(0.6*$K$49+0.45*$J$49)+I54^2*$K$49</f>
        <v>0</v>
      </c>
      <c r="K54" s="79">
        <f>(1-I54)^2*$J$50+2*(1-I54)*I54*(0.6*$K$50+0.45*$J$50)+I54^2*$K$50</f>
        <v>5700.799206509565</v>
      </c>
      <c r="L54" s="49">
        <f>$J$49</f>
        <v>0</v>
      </c>
      <c r="M54" s="50">
        <f>$J$50</f>
        <v>5700.799206509565</v>
      </c>
      <c r="O54" s="5"/>
      <c r="P54" s="5"/>
      <c r="Q54" s="5"/>
      <c r="R54" s="82" t="s">
        <v>278</v>
      </c>
      <c r="S54" s="80">
        <f>0</f>
        <v>0</v>
      </c>
      <c r="T54" s="80">
        <f>$J$50</f>
        <v>5700.799206509565</v>
      </c>
      <c r="Y54" s="31"/>
      <c r="Z54" s="31"/>
      <c r="AA54" s="31"/>
      <c r="AB54" s="31"/>
      <c r="AC54" s="31"/>
    </row>
    <row r="55" spans="1:29" x14ac:dyDescent="0.2">
      <c r="A55" s="5"/>
      <c r="C55" s="5"/>
      <c r="D55" s="5"/>
      <c r="E55" s="34" t="str">
        <f>"P'_d,C = "&amp;TEXT('4. z-Buckling'!$E$43,"0.0")</f>
        <v>P'_d,C = 1835.4</v>
      </c>
      <c r="F55" s="5"/>
      <c r="G55" s="119"/>
      <c r="H55" s="5"/>
      <c r="I55" s="78">
        <v>0.25</v>
      </c>
      <c r="J55" s="78">
        <f>(1-I55)^2*$J$49+2*(1-I55)*I55*(0.6*$K$49+0.45*$J$49)+I55^2*$K$49</f>
        <v>134.66021572726422</v>
      </c>
      <c r="K55" s="79">
        <f>(1-I55)^2*$J$50+2*(1-I55)*I55*(0.6*$K$50+0.45*$J$50)+I55^2*$K$50</f>
        <v>4696.3832083964835</v>
      </c>
      <c r="L55" s="31">
        <f>$K$49</f>
        <v>468.38335905135381</v>
      </c>
      <c r="M55" s="52">
        <f>$K$50</f>
        <v>1835.3870909090908</v>
      </c>
      <c r="O55" s="5"/>
      <c r="P55" s="5"/>
      <c r="Q55" s="5"/>
      <c r="R55" s="82" t="s">
        <v>279</v>
      </c>
      <c r="S55" s="80">
        <f>$K$49</f>
        <v>468.38335905135381</v>
      </c>
      <c r="T55" s="80">
        <f>$K$50</f>
        <v>1835.3870909090908</v>
      </c>
      <c r="Y55" s="80">
        <v>0</v>
      </c>
      <c r="Z55" s="77">
        <f>(1-Y55)^2*0+2*(1-Y55)*Y55*(0.45*$K$49)+Y55^2*$K$49</f>
        <v>0</v>
      </c>
      <c r="AA55" s="77">
        <f>(1-Y55)^2*$J$50+2*(1-Y55)*Y55*(0.62*$J$50)+Y55^2*$K$50</f>
        <v>5700.799206509565</v>
      </c>
      <c r="AB55" s="56">
        <f>0</f>
        <v>0</v>
      </c>
      <c r="AC55" s="50">
        <f>$J$93</f>
        <v>5700.799206509565</v>
      </c>
    </row>
    <row r="56" spans="1:29" x14ac:dyDescent="0.2">
      <c r="A56" s="5"/>
      <c r="C56" s="5"/>
      <c r="D56" s="5"/>
      <c r="E56" s="34" t="str">
        <f>"P'_d,C/2 = "&amp;TEXT('4. z-Buckling'!$E$43/2,"0.00")</f>
        <v>P'_d,C/2 = 917.69</v>
      </c>
      <c r="F56" s="5"/>
      <c r="G56" s="119"/>
      <c r="H56" s="5"/>
      <c r="I56" s="78">
        <v>0.5</v>
      </c>
      <c r="J56" s="78">
        <f>(1-I56)^2*$J$49+2*(1-I56)*I56*(0.6*$K$49+0.45*$J$49)+I56^2*$K$49</f>
        <v>257.61084747824458</v>
      </c>
      <c r="K56" s="79">
        <f>(1-I56)^2*$J$50+2*(1-I56)*I56*(0.6*$K$50+0.45*$J$50)+I56^2*$K$50</f>
        <v>3717.3425230920434</v>
      </c>
      <c r="L56" s="18">
        <f>$L$49</f>
        <v>504.99810406044469</v>
      </c>
      <c r="M56" s="59">
        <f>$K$50/2</f>
        <v>917.69354545454541</v>
      </c>
      <c r="O56" s="5"/>
      <c r="P56" s="5"/>
      <c r="Q56" s="5"/>
      <c r="R56" s="82" t="s">
        <v>280</v>
      </c>
      <c r="S56" s="80">
        <f>$L$49</f>
        <v>504.99810406044469</v>
      </c>
      <c r="T56" s="80">
        <f>$K$50/2</f>
        <v>917.69354545454541</v>
      </c>
      <c r="Y56" s="80">
        <v>0.25</v>
      </c>
      <c r="Z56" s="77">
        <f>(1-Y56)^2*0+2*(1-Y56)*Y56*(0.45*$K$49)+Y56^2*$K$49</f>
        <v>108.31365178062558</v>
      </c>
      <c r="AA56" s="77">
        <f>(1-Y56)^2*$J$50+2*(1-Y56)*Y56*(0.62*$J$50)+Y56^2*$K$50</f>
        <v>4646.8470623569228</v>
      </c>
      <c r="AB56" s="57">
        <f>$K$92</f>
        <v>187.33997289746299</v>
      </c>
      <c r="AC56" s="52">
        <f>$K$93</f>
        <v>3883.7567236363639</v>
      </c>
    </row>
    <row r="57" spans="1:29" x14ac:dyDescent="0.2">
      <c r="A57" s="5"/>
      <c r="C57" s="5"/>
      <c r="D57" s="5"/>
      <c r="E57" s="34" t="str">
        <f>"M_max,z = "&amp;TEXT('4. z-Buckling'!$E$48,"0")</f>
        <v>M_max,z = 505</v>
      </c>
      <c r="F57" s="5"/>
      <c r="G57" s="119"/>
      <c r="H57" s="5"/>
      <c r="I57" s="78">
        <v>0.75</v>
      </c>
      <c r="J57" s="78">
        <f>(1-I57)^2*$J$49+2*(1-I57)*I57*(0.6*$K$49+0.45*$J$49)+I57^2*$K$49</f>
        <v>368.85189525294112</v>
      </c>
      <c r="K57" s="79">
        <f>(1-I57)^2*$J$50+2*(1-I57)*I57*(0.6*$K$50+0.45*$J$50)+I57^2*$K$50</f>
        <v>2763.6771505962461</v>
      </c>
      <c r="L57" s="54">
        <f>$M$49</f>
        <v>468.38335905135381</v>
      </c>
      <c r="M57" s="55">
        <f>$M$50</f>
        <v>0</v>
      </c>
      <c r="O57" s="5"/>
      <c r="P57" s="5"/>
      <c r="Q57" s="5"/>
      <c r="R57" s="82" t="s">
        <v>281</v>
      </c>
      <c r="S57" s="80">
        <f>$K$49</f>
        <v>468.38335905135381</v>
      </c>
      <c r="T57" s="80">
        <f>0</f>
        <v>0</v>
      </c>
      <c r="Y57" s="80">
        <v>0.5</v>
      </c>
      <c r="Z57" s="77">
        <f>(1-Y57)^2*0+2*(1-Y57)*Y57*(0.45*$K$49)+Y57^2*$K$49</f>
        <v>222.48209554939308</v>
      </c>
      <c r="AA57" s="77">
        <f>(1-Y57)^2*$J$50+2*(1-Y57)*Y57*(0.62*$J$50)+Y57^2*$K$50</f>
        <v>3651.294328372629</v>
      </c>
      <c r="AB57" s="58">
        <f>$K$92</f>
        <v>187.33997289746299</v>
      </c>
      <c r="AC57" s="55">
        <f>0</f>
        <v>0</v>
      </c>
    </row>
    <row r="58" spans="1:29" x14ac:dyDescent="0.2">
      <c r="A58" s="5"/>
      <c r="C58" s="5"/>
      <c r="D58" s="5"/>
      <c r="E58" s="34" t="str">
        <f>"M_d,z = "&amp;TEXT('4. z-Buckling'!$E$46,"0.0")</f>
        <v>M_d,z = 468.4</v>
      </c>
      <c r="F58" s="5"/>
      <c r="G58" s="119"/>
      <c r="H58" s="5"/>
      <c r="I58" s="78">
        <v>1</v>
      </c>
      <c r="J58" s="78">
        <f>(1-I58)^2*$J$49+2*(1-I58)*I58*(0.6*$K$49+0.45*$J$49)+I58^2*$K$49</f>
        <v>468.38335905135381</v>
      </c>
      <c r="K58" s="79">
        <f>(1-I58)^2*$J$50+2*(1-I58)*I58*(0.6*$K$50+0.45*$J$50)+I58^2*$K$50</f>
        <v>1835.3870909090908</v>
      </c>
      <c r="L58" s="31"/>
      <c r="M58" s="31"/>
      <c r="O58" s="5"/>
      <c r="P58" s="5"/>
      <c r="Q58" s="5"/>
      <c r="Y58" s="80">
        <v>0.75</v>
      </c>
      <c r="Z58" s="77">
        <f>(1-Y58)^2*0+2*(1-Y58)*Y58*(0.45*$K$49)+Y58^2*$K$49</f>
        <v>342.50533130630248</v>
      </c>
      <c r="AA58" s="77">
        <f>(1-Y58)^2*$J$50+2*(1-Y58)*Y58*(0.62*$J$50)+Y58^2*$K$50</f>
        <v>2714.1410045566854</v>
      </c>
      <c r="AB58" s="31"/>
      <c r="AC58" s="31"/>
    </row>
    <row r="59" spans="1:29" x14ac:dyDescent="0.2">
      <c r="A59" s="5"/>
      <c r="C59" s="5"/>
      <c r="D59" s="5"/>
      <c r="F59" s="5"/>
      <c r="G59" s="119"/>
      <c r="H59" s="5"/>
      <c r="I59" s="80">
        <v>0</v>
      </c>
      <c r="J59" s="77">
        <f>(1-I59)^2*$K$49+2*(1-I59)*I59*(0.59*$L$49+0.45*$K$49)+I59^2*$L$49</f>
        <v>468.38335905135381</v>
      </c>
      <c r="K59" s="77">
        <f>(1-I59)^2*$K$50+2*(1-I59)*I59*(0.59*$L$50+0.45*$K$50)+I59^2*$L$50</f>
        <v>1835.3870909090908</v>
      </c>
      <c r="L59" s="31"/>
      <c r="M59" s="31"/>
      <c r="O59" s="5"/>
      <c r="P59" s="5"/>
      <c r="Q59" s="5"/>
      <c r="Y59" s="80">
        <v>1</v>
      </c>
      <c r="Z59" s="77">
        <f>(1-Y59)^2*0+2*(1-Y59)*Y59*(0.45*$K$49)+Y59^2*$K$49</f>
        <v>468.38335905135381</v>
      </c>
      <c r="AA59" s="77">
        <f>(1-Y59)^2*$J$50+2*(1-Y59)*Y59*(0.62*$J$50)+Y59^2*$K$50</f>
        <v>1835.3870909090908</v>
      </c>
      <c r="AB59" s="31"/>
      <c r="AC59" s="31"/>
    </row>
    <row r="60" spans="1:29" x14ac:dyDescent="0.2">
      <c r="A60" s="5"/>
      <c r="C60" s="5"/>
      <c r="D60" s="5"/>
      <c r="F60" s="5"/>
      <c r="G60" s="119"/>
      <c r="H60" s="5"/>
      <c r="I60" s="80">
        <v>0.25</v>
      </c>
      <c r="J60" s="77">
        <f>(1-I60)^2*$K$49+2*(1-I60)*I60*(0.59*$L$49+0.45*$K$49)+I60^2*$L$49</f>
        <v>485.79854333345361</v>
      </c>
      <c r="K60" s="77">
        <f>(1-I60)^2*$K$50+2*(1-I60)*I60*(0.59*$L$50+0.45*$K$50)+I60^2*$L$50</f>
        <v>1602.5223537499996</v>
      </c>
      <c r="L60" s="31"/>
      <c r="M60" s="31"/>
      <c r="O60" s="5"/>
      <c r="P60" s="5"/>
      <c r="Q60" s="5"/>
      <c r="Y60" s="80">
        <v>0.25</v>
      </c>
      <c r="Z60" s="77">
        <f>(1-Y60)^2*$K$49+2*(1-Y60)*Y60*(0.55*$L$49+0.45*$K$49)+Y60^2*$L$49</f>
        <v>478.22357177254696</v>
      </c>
      <c r="AA60" s="77">
        <f>(1-Y60)^2*$K$50+2*(1-Y60)*Y60*(0.62*$K$50)+Y60^2*$K$50/2</f>
        <v>1516.4885838636362</v>
      </c>
      <c r="AB60" s="31"/>
      <c r="AC60" s="31"/>
    </row>
    <row r="61" spans="1:29" x14ac:dyDescent="0.2">
      <c r="A61" s="5"/>
      <c r="C61" s="5"/>
      <c r="D61" s="5"/>
      <c r="E61" s="5"/>
      <c r="F61" s="5"/>
      <c r="G61" s="119"/>
      <c r="H61" s="5"/>
      <c r="I61" s="80">
        <v>0.5</v>
      </c>
      <c r="J61" s="77">
        <f>(1-I61)^2*$K$49+2*(1-I61)*I61*(0.59*$L$49+0.45*$K$49)+I61^2*$L$49</f>
        <v>497.70606226233542</v>
      </c>
      <c r="K61" s="77">
        <f>(1-I61)^2*$K$50+2*(1-I61)*I61*(0.59*$L$50+0.45*$K$50)+I61^2*$L$50</f>
        <v>1371.9518504545454</v>
      </c>
      <c r="L61" s="31"/>
      <c r="M61" s="31"/>
      <c r="O61" s="5"/>
      <c r="P61" s="5"/>
      <c r="Q61" s="5"/>
      <c r="Y61" s="80">
        <v>0.5</v>
      </c>
      <c r="Z61" s="77">
        <f>(1-Y61)^2*$K$49+2*(1-Y61)*Y61*(0.55*$L$49+0.45*$K$49)+Y61^2*$L$49</f>
        <v>487.60610018112652</v>
      </c>
      <c r="AA61" s="77">
        <f>(1-Y61)^2*$K$50+2*(1-Y61)*Y61*(0.62*$K$50)+Y61^2*$K$50/2</f>
        <v>1257.2401572727272</v>
      </c>
      <c r="AB61" s="31"/>
      <c r="AC61" s="31"/>
    </row>
    <row r="62" spans="1:29" x14ac:dyDescent="0.2">
      <c r="A62" s="5"/>
      <c r="C62" s="5"/>
      <c r="D62" s="5"/>
      <c r="E62" s="5"/>
      <c r="F62" s="5"/>
      <c r="G62" s="119"/>
      <c r="H62" s="5"/>
      <c r="I62" s="80">
        <v>0.75</v>
      </c>
      <c r="J62" s="77">
        <f>(1-I62)^2*$K$49+2*(1-I62)*I62*(0.59*$L$49+0.45*$K$49)+I62^2*$L$49</f>
        <v>504.10591583799908</v>
      </c>
      <c r="K62" s="77">
        <f>(1-I62)^2*$K$50+2*(1-I62)*I62*(0.59*$L$50+0.45*$K$50)+I62^2*$L$50</f>
        <v>1143.6755810227271</v>
      </c>
      <c r="L62" s="31"/>
      <c r="M62" s="31"/>
      <c r="O62" s="5"/>
      <c r="P62" s="5"/>
      <c r="Q62" s="5"/>
      <c r="Y62" s="80">
        <v>0.75</v>
      </c>
      <c r="Z62" s="77">
        <f>(1-Y62)^2*$K$49+2*(1-Y62)*Y62*(0.55*$L$49+0.45*$K$49)+Y62^2*$L$49</f>
        <v>496.53094427709243</v>
      </c>
      <c r="AA62" s="77">
        <f>(1-Y62)^2*$K$50+2*(1-Y62)*Y62*(0.62*$K$50)+Y62^2*$K$50/2</f>
        <v>1057.6418111363637</v>
      </c>
      <c r="AB62" s="31"/>
      <c r="AC62" s="31"/>
    </row>
    <row r="63" spans="1:29" x14ac:dyDescent="0.2">
      <c r="A63" s="5"/>
      <c r="C63" s="5"/>
      <c r="D63" s="5"/>
      <c r="E63" s="5"/>
      <c r="F63" s="5"/>
      <c r="G63" s="119"/>
      <c r="H63" s="5"/>
      <c r="I63" s="80">
        <v>1</v>
      </c>
      <c r="J63" s="77">
        <f>(1-I63)^2*$K$49+2*(1-I63)*I63*(0.59*$L$49+0.45*$K$49)+I63^2*$L$49</f>
        <v>504.99810406044469</v>
      </c>
      <c r="K63" s="77">
        <f>(1-I63)^2*$K$50+2*(1-I63)*I63*(0.59*$L$50+0.45*$K$50)+I63^2*$L$50</f>
        <v>917.69354545454541</v>
      </c>
      <c r="L63" s="31"/>
      <c r="M63" s="31"/>
      <c r="O63" s="5"/>
      <c r="P63" s="5"/>
      <c r="Q63" s="5"/>
      <c r="Y63" s="80">
        <v>1</v>
      </c>
      <c r="Z63" s="77">
        <f>(1-Y63)^2*$K$49+2*(1-Y63)*Y63*(0.55*$L$49+0.45*$K$49)+Y63^2*$L$49</f>
        <v>504.99810406044469</v>
      </c>
      <c r="AA63" s="77">
        <f>(1-Y63)^2*$K$50+2*(1-Y63)*Y63*(0.62*$K$50)+Y63^2*$K$50/2</f>
        <v>917.69354545454541</v>
      </c>
      <c r="AB63" s="31"/>
      <c r="AC63" s="31"/>
    </row>
    <row r="64" spans="1:29" x14ac:dyDescent="0.2">
      <c r="A64" s="5"/>
      <c r="C64" s="5"/>
      <c r="D64" s="5"/>
      <c r="E64" s="5"/>
      <c r="F64" s="5"/>
      <c r="G64" s="119"/>
      <c r="H64" s="5"/>
      <c r="I64" s="78">
        <v>0</v>
      </c>
      <c r="J64" s="79">
        <f>(1-I64)^2*$L$49+2*(1-I64)*I64*(0.58*$M$49+0.45*$L$49)+I64^2*$M$49</f>
        <v>504.99810406044469</v>
      </c>
      <c r="K64" s="79">
        <f>(1-I64)^2*$L$50+2*(1-I64)*I64*(0.58*$M$50+0.45*$L$50)+I64^2*$M$50</f>
        <v>917.69354545454541</v>
      </c>
      <c r="L64" s="31"/>
      <c r="M64" s="31"/>
      <c r="O64" s="31"/>
      <c r="P64" s="5"/>
      <c r="Q64" s="5"/>
      <c r="Y64" s="80">
        <v>0.25</v>
      </c>
      <c r="Z64" s="77">
        <f>(1-Y64)^2*$L$49+2*(1-Y64)*Y64*($L$49+2)+Y64^2*$M$49</f>
        <v>503.45968249737649</v>
      </c>
      <c r="AA64" s="77">
        <f>(1-Y64)^2*$K$50/2+2*(1-Y64)*Y64*(0.32*$K$50)+Y64^2*0</f>
        <v>736.44907022727261</v>
      </c>
      <c r="AB64" s="31"/>
      <c r="AC64" s="31"/>
    </row>
    <row r="65" spans="1:29" x14ac:dyDescent="0.2">
      <c r="A65" s="5"/>
      <c r="C65" s="5"/>
      <c r="D65" s="5"/>
      <c r="E65" s="5"/>
      <c r="F65" s="5"/>
      <c r="G65" s="119"/>
      <c r="H65" s="5"/>
      <c r="I65" s="78">
        <v>0.25</v>
      </c>
      <c r="J65" s="79">
        <f>(1-I65)^2*$L$49+2*(1-I65)*I65*(0.58*$M$49+0.45*$L$49)+I65^2*$M$49</f>
        <v>500.42720412857921</v>
      </c>
      <c r="K65" s="79">
        <f>(1-I65)^2*$L$50+2*(1-I65)*I65*(0.6*$M$50+0.45*$L$50)+I65^2*$M$50</f>
        <v>671.06340511363624</v>
      </c>
      <c r="L65" s="31"/>
      <c r="M65" s="31"/>
      <c r="O65" s="5"/>
      <c r="P65" s="5"/>
      <c r="Q65" s="5"/>
      <c r="Y65" s="80">
        <v>0.5</v>
      </c>
      <c r="Z65" s="77">
        <f>(1-Y65)^2*$L$49+2*(1-Y65)*Y65*($L$49+2)+Y65^2*$M$49</f>
        <v>496.84441780817195</v>
      </c>
      <c r="AA65" s="77">
        <f>(1-Y65)^2*$K$50/2+2*(1-Y65)*Y65*(0.32*$K$50)+Y65^2*0</f>
        <v>523.08532090909091</v>
      </c>
      <c r="AB65" s="31"/>
      <c r="AC65" s="31"/>
    </row>
    <row r="66" spans="1:29" x14ac:dyDescent="0.2">
      <c r="A66" s="5"/>
      <c r="C66" s="5"/>
      <c r="D66" s="5"/>
      <c r="E66" s="5"/>
      <c r="F66" s="5"/>
      <c r="G66" s="119"/>
      <c r="H66" s="5"/>
      <c r="I66" s="78">
        <v>0.5</v>
      </c>
      <c r="J66" s="79">
        <f>(1-I66)^2*$L$49+2*(1-I66)*I66*(0.58*$M$49+0.45*$L$49)+I66^2*$M$49</f>
        <v>492.80111331644224</v>
      </c>
      <c r="K66" s="79">
        <f>(1-I66)^2*$L$50+2*(1-I66)*I66*(0.6*$M$50+0.45*$L$50)+I66^2*$M$50</f>
        <v>435.90443409090904</v>
      </c>
      <c r="L66" s="31"/>
      <c r="O66" s="5"/>
      <c r="P66" s="5"/>
      <c r="Q66" s="5"/>
      <c r="Y66" s="80">
        <v>0.75</v>
      </c>
      <c r="Z66" s="77">
        <f>(1-Y66)^2*$L$49+2*(1-Y66)*Y66*($L$49+2)+Y66^2*$M$49</f>
        <v>485.15230999283108</v>
      </c>
      <c r="AA66" s="77">
        <f>(1-Y66)^2*$K$50/2+2*(1-Y66)*Y66*(0.32*$K$50)+Y66^2*0</f>
        <v>277.60229749999996</v>
      </c>
      <c r="AB66" s="31"/>
      <c r="AC66" s="31"/>
    </row>
    <row r="67" spans="1:29" x14ac:dyDescent="0.2">
      <c r="A67" s="5"/>
      <c r="C67" s="5"/>
      <c r="D67" s="5"/>
      <c r="E67" s="5"/>
      <c r="F67" s="5"/>
      <c r="G67" s="119"/>
      <c r="H67" s="5"/>
      <c r="I67" s="78">
        <v>0.75</v>
      </c>
      <c r="J67" s="79">
        <f>(1-I67)^2*$L$49+2*(1-I67)*I67*(0.58*$M$49+0.45*$L$49)+I67^2*$M$49</f>
        <v>482.11983162403374</v>
      </c>
      <c r="K67" s="79">
        <f>(1-I67)^2*$L$50+2*(1-I67)*I67*(0.6*$M$50+0.45*$L$50)+I67^2*$M$50</f>
        <v>212.21663238636364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Y67" s="80">
        <v>1</v>
      </c>
      <c r="Z67" s="77">
        <f>(1-Y67)^2*$L$49+2*(1-Y67)*Y67*($L$49+2)+Y67^2*$M$49</f>
        <v>468.38335905135381</v>
      </c>
      <c r="AA67" s="77">
        <f>(1-Y67)^2*$K$50/2+2*(1-Y67)*Y67*(0.32*$K$50)+Y67^2*0</f>
        <v>0</v>
      </c>
      <c r="AB67" s="31"/>
      <c r="AC67" s="31"/>
    </row>
    <row r="68" spans="1:29" x14ac:dyDescent="0.2">
      <c r="A68" s="5"/>
      <c r="C68" s="5"/>
      <c r="D68" s="5"/>
      <c r="E68" s="5"/>
      <c r="F68" s="5"/>
      <c r="G68" s="119"/>
      <c r="H68" s="5"/>
      <c r="I68" s="78">
        <v>1</v>
      </c>
      <c r="J68" s="79">
        <f>(1-I68)^2*$L$49+2*(1-I68)*I68*(0.58*$M$49+0.45*$L$49)+I68^2*$M$49</f>
        <v>468.38335905135381</v>
      </c>
      <c r="K68" s="79">
        <f>(1-I68)^2*$L$50+2*(1-I68)*I68*(0.6*$M$50+0.45*$L$50)+I68^2*$M$50</f>
        <v>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Z68" s="5"/>
    </row>
    <row r="69" spans="1:29" x14ac:dyDescent="0.2">
      <c r="A69" s="5"/>
      <c r="C69" s="5"/>
      <c r="D69" s="5"/>
      <c r="E69" s="5"/>
      <c r="F69" s="5"/>
      <c r="G69" s="11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Z69" s="5"/>
    </row>
    <row r="70" spans="1:29" x14ac:dyDescent="0.2">
      <c r="A70" s="5"/>
      <c r="C70" s="5"/>
      <c r="D70" s="5"/>
      <c r="E70" s="5"/>
      <c r="F70" s="5"/>
      <c r="G70" s="11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9" ht="20.100000000000001" customHeight="1" x14ac:dyDescent="0.2">
      <c r="A71" s="5"/>
      <c r="C71" s="30" t="str">
        <f>"Solid: plastic interaction curve through A→C→D→B;  dashed: simplified bilinear curve A→C→B (chart updates with inputs)"</f>
        <v>Solid: plastic interaction curve through A→C→D→B;  dashed: simplified bilinear curve A→C→B (chart updates with inputs)</v>
      </c>
      <c r="D71" s="30"/>
      <c r="E71" s="5"/>
      <c r="F71" s="5"/>
      <c r="G71" s="11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9" ht="20.100000000000001" customHeight="1" x14ac:dyDescent="0.25">
      <c r="O72" s="74"/>
    </row>
    <row r="73" spans="1:29" ht="20.100000000000001" customHeight="1" x14ac:dyDescent="0.2">
      <c r="A73" s="5"/>
      <c r="C73" s="11" t="s">
        <v>76</v>
      </c>
      <c r="D73" s="6"/>
      <c r="E73" s="5"/>
      <c r="F73" s="5"/>
      <c r="G73" s="119"/>
      <c r="N73" s="74"/>
    </row>
    <row r="74" spans="1:29" ht="20.100000000000001" customHeight="1" x14ac:dyDescent="0.2">
      <c r="A74" s="5"/>
      <c r="C74" s="5"/>
      <c r="D74" s="5"/>
      <c r="E74" s="5"/>
      <c r="F74" s="5"/>
      <c r="G74" s="119"/>
      <c r="N74" s="74"/>
    </row>
    <row r="75" spans="1:29" ht="40.5" customHeight="1" x14ac:dyDescent="0.2">
      <c r="A75" s="5"/>
      <c r="C75" s="112" t="str">
        <f>CONCATENATE("Assume the neutral axis is in the web, i.e. tw/2 &lt; hn,y &lt; bf/2 → Astc = ",FIXED('2. Properties'!D41/2,0)," × ",FIXED('3. Sect Props'!D28,1,TRUE)," = ",FIXED('2. Properties'!D41/2*'3. Sect Props'!D28,1,TRUE)," mm^2")</f>
        <v>Assume the neutral axis is in the web, i.e. tw/2 &lt; hn,y &lt; bf/2 → Astc = 2 × 113.1 = 226.2 mm^2</v>
      </c>
      <c r="D75" s="73"/>
      <c r="F75" s="5"/>
      <c r="G75" s="119"/>
      <c r="N75" s="74"/>
    </row>
    <row r="76" spans="1:29" ht="36" customHeight="1" x14ac:dyDescent="0.2">
      <c r="A76" s="5"/>
      <c r="B76" s="20" t="s">
        <v>121</v>
      </c>
      <c r="C76" s="149" t="s">
        <v>122</v>
      </c>
      <c r="D76" s="149"/>
      <c r="E76" s="150"/>
      <c r="F76" s="150"/>
      <c r="G76" s="119"/>
      <c r="N76" s="74"/>
    </row>
    <row r="77" spans="1:29" ht="54.75" customHeight="1" x14ac:dyDescent="0.2">
      <c r="A77" s="5"/>
      <c r="C77" s="38" t="str">
        <f>CONCATENATE("= (0.8 x ",FIXED('3. Sect Props'!$D$41,0,TRUE)," x ",FIXED('2. Properties'!$D$10,0,TRUE)," / ",FIXED('2. Properties'!$D$11,0,TRUE)," - ",FIXED('4. z-Buckling'!$E$31,0,TRUE)," x (2 x ",FIXED('2. Properties'!$D$18,0,TRUE)," / ",FIXED('2. Properties'!$D$19,0,TRUE)," - 0.8 x ",FIXED('2. Properties'!$D$10,0,TRUE)," / ",FIXED('2. Properties'!$D$11,0,TRUE),") - ",FIXED('2. Properties'!$D$39,0,TRUE)," x (2 x ",FIXED('2. Properties'!$D$38,0,TRUE)," - ",FIXED('2. Properties'!$D$36,0,TRUE),") x (2 x ",FIXED('2. Properties'!$D$5,0,TRUE)," / ",FIXED('2. Properties'!$D$6,0,TRUE)," - 0.8 x ",FIXED('2. Properties'!$D$10,0,TRUE)," / ",FIXED('2. Properties'!$D$11,0,TRUE),")) / (1.6 x ",FIXED('2. Properties'!$D$35,0,TRUE)," x ",FIXED('2. Properties'!$D$10,0,TRUE)," / ",FIXED('2. Properties'!$D$11,0,TRUE)," + 4 x ",FIXED('2. Properties'!$D$39,0,TRUE)," x (2 x ",FIXED('2. Properties'!$D$5,0,TRUE)," / ",FIXED('2. Properties'!$D$6,0,TRUE)," - 0.8 x ",FIXED('2. Properties'!$D$10,0,TRUE)," / ",FIXED('2. Properties'!$D$11,0,TRUE),"))")</f>
        <v>= (0.8 x 148323 x 30 / 2 - 226 x (2 x 415 / 1 - 0.8 x 30 / 2) - 11 x (2 x 17 - 260) x (2 x 345 / 1 - 0.8 x 30 / 2)) / (1.6 x 400 x 30 / 2 + 4 x 11 x (2 x 345 / 1 - 0.8 x 30 / 2))</v>
      </c>
      <c r="D77" s="38"/>
      <c r="E77" s="10">
        <f>(0.8*'3. Sect Props'!$D$41*'2. Properties'!$D$10/'2. Properties'!$D$11-'4. z-Buckling'!$E$31*(2*'2. Properties'!$D$18/'2. Properties'!$D$19-0.8*'2. Properties'!$D$10/'2. Properties'!$D$11)-'2. Properties'!$D$39*(2*'2. Properties'!$D$38-'2. Properties'!$D$36)*(2*'2. Properties'!$D$5/'2. Properties'!$D$6-0.8*'2. Properties'!$D$10/'2. Properties'!$D$11))/(1.6*'2. Properties'!$D$35*'2. Properties'!$D$10/'2. Properties'!$D$11+4*'2. Properties'!$D$39*(2*'2. Properties'!$D$5/'2. Properties'!$D$6-0.8*'2. Properties'!$D$10/'2. Properties'!$D$11))</f>
        <v>95.13670521518452</v>
      </c>
      <c r="F77" s="43" t="s">
        <v>227</v>
      </c>
      <c r="G77" s="120"/>
    </row>
    <row r="78" spans="1:29" ht="15" x14ac:dyDescent="0.2">
      <c r="A78" s="5"/>
      <c r="B78" s="20" t="s">
        <v>123</v>
      </c>
      <c r="D78" s="46"/>
      <c r="E78" s="16">
        <f>CEILING(E77,0.1)</f>
        <v>95.2</v>
      </c>
      <c r="F78" s="44" t="s">
        <v>227</v>
      </c>
      <c r="G78" s="120"/>
      <c r="K78" s="98" t="s">
        <v>255</v>
      </c>
    </row>
    <row r="79" spans="1:29" ht="30" customHeight="1" x14ac:dyDescent="0.2">
      <c r="A79" s="5"/>
      <c r="C79" s="113" t="str">
        <f>"→ t_w/2 = 10.5/2 = 5.25 &lt; h_n,y = "&amp;TEXT('4. z-Buckling'!$E$78,"0.0")&amp;" &lt; 128 = 256/2 = b_f/2 → the assumption on the neutral axis is valid"</f>
        <v>→ t_w/2 = 10.5/2 = 5.25 &lt; h_n,y = 95.2 &lt; 128 = 256/2 = b_f/2 → the assumption on the neutral axis is valid</v>
      </c>
      <c r="D79" s="9"/>
      <c r="E79" s="5"/>
      <c r="F79" s="5"/>
      <c r="G79" s="119"/>
      <c r="I79" s="111" t="s">
        <v>298</v>
      </c>
      <c r="K79" s="18">
        <v>94.444999999999993</v>
      </c>
      <c r="L79" s="81" t="s">
        <v>227</v>
      </c>
    </row>
    <row r="80" spans="1:29" x14ac:dyDescent="0.25">
      <c r="J80" s="31"/>
      <c r="K80" s="31"/>
      <c r="L80" s="31"/>
      <c r="M80" s="31"/>
    </row>
    <row r="81" spans="2:31" ht="20.100000000000001" customHeight="1" x14ac:dyDescent="0.25">
      <c r="B81" s="20" t="s">
        <v>102</v>
      </c>
      <c r="C81" s="147" t="s">
        <v>103</v>
      </c>
      <c r="D81" s="145"/>
      <c r="E81" s="146"/>
      <c r="F81" s="146"/>
      <c r="J81" s="31"/>
      <c r="K81" s="31"/>
      <c r="L81" s="31"/>
      <c r="M81" s="31"/>
    </row>
    <row r="82" spans="2:31" ht="26.25" customHeight="1" x14ac:dyDescent="0.25">
      <c r="C82" s="19"/>
      <c r="D82" s="19"/>
      <c r="E82" s="16">
        <f>0</f>
        <v>0</v>
      </c>
      <c r="F82" s="6" t="s">
        <v>104</v>
      </c>
      <c r="G82" s="118" t="s">
        <v>308</v>
      </c>
      <c r="J82" s="31"/>
      <c r="K82" s="31"/>
      <c r="L82" s="31"/>
      <c r="M82" s="31"/>
    </row>
    <row r="83" spans="2:31" ht="20.100000000000001" customHeight="1" x14ac:dyDescent="0.25">
      <c r="B83" s="20" t="s">
        <v>105</v>
      </c>
      <c r="C83" s="145" t="s">
        <v>106</v>
      </c>
      <c r="D83" s="145"/>
      <c r="E83" s="146"/>
      <c r="F83" s="146"/>
      <c r="J83" s="31"/>
      <c r="K83" s="31"/>
      <c r="L83" s="31"/>
      <c r="M83" s="31"/>
    </row>
    <row r="84" spans="2:31" ht="24" customHeight="1" x14ac:dyDescent="0.25">
      <c r="C84" s="38" t="str">
        <f>CONCATENATE("= 2 x ",FIXED('2. Properties'!$D$38,1,TRUE)," x ",FIXED('4. z-Buckling'!$E$78,1,TRUE),"^2 + (",FIXED('2. Properties'!$D$36,0,TRUE)," - 2 x ",FIXED('2. Properties'!$D$38,1,TRUE),") x ",FIXED('2. Properties'!$D$39,1,TRUE),"^2 / 4")</f>
        <v>= 2 x 17.3 x 95.2^2 + (260 - 2 x 17.3) x 10.5^2 / 4</v>
      </c>
      <c r="D84" s="38"/>
      <c r="E84" s="14">
        <f>2*'2. Properties'!$D$38*'4. z-Buckling'!$E$78^2+('2. Properties'!$D$36-2*'2. Properties'!$D$38)*'2. Properties'!$D$39^2/4</f>
        <v>319793.77150000009</v>
      </c>
      <c r="F84" s="6" t="s">
        <v>104</v>
      </c>
      <c r="G84" s="118" t="s">
        <v>309</v>
      </c>
      <c r="J84" s="31"/>
      <c r="K84" s="31"/>
      <c r="L84" s="31"/>
      <c r="M84" s="31"/>
    </row>
    <row r="85" spans="2:31" ht="20.100000000000001" customHeight="1" x14ac:dyDescent="0.25">
      <c r="B85" s="20" t="s">
        <v>107</v>
      </c>
      <c r="C85" s="145" t="s">
        <v>108</v>
      </c>
      <c r="D85" s="145"/>
      <c r="E85" s="146"/>
      <c r="F85" s="146"/>
      <c r="J85" s="31"/>
      <c r="K85" s="31"/>
      <c r="L85" s="31"/>
      <c r="M85" s="31"/>
    </row>
    <row r="86" spans="2:31" ht="27" customHeight="1" x14ac:dyDescent="0.25">
      <c r="C86" s="38" t="str">
        <f>CONCATENATE("= ",FIXED('2. Properties'!$D$35,0,TRUE)," x ",FIXED('4. z-Buckling'!$E$78,1,TRUE),"^2 - ",FIXED('4. z-Buckling'!$E$84,1,TRUE))</f>
        <v>= 400 x 95.2^2 - 319793.8</v>
      </c>
      <c r="D86" s="38"/>
      <c r="E86" s="15">
        <f>'2. Properties'!$D$35*'4. z-Buckling'!$E$78^2-'4. z-Buckling'!$E$84</f>
        <v>3305422.2285000002</v>
      </c>
      <c r="F86" s="6" t="s">
        <v>104</v>
      </c>
      <c r="G86" s="118" t="s">
        <v>310</v>
      </c>
      <c r="I86" s="31"/>
      <c r="J86" s="31"/>
      <c r="K86" s="31"/>
      <c r="L86" s="31"/>
      <c r="M86" s="31"/>
    </row>
    <row r="87" spans="2:31" ht="19.5" customHeight="1" x14ac:dyDescent="0.25">
      <c r="B87" s="20" t="s">
        <v>109</v>
      </c>
      <c r="C87" s="145" t="s">
        <v>110</v>
      </c>
      <c r="D87" s="145"/>
      <c r="E87" s="146"/>
      <c r="F87" s="146"/>
      <c r="I87" s="31"/>
      <c r="J87" s="31"/>
      <c r="K87" s="31"/>
      <c r="L87" s="31"/>
      <c r="M87" s="31"/>
    </row>
    <row r="88" spans="2:31" ht="35.1" customHeight="1" x14ac:dyDescent="0.25">
      <c r="C88" s="38" t="str">
        <f>CONCATENATE("= (1.6 x ",FIXED('4. z-Buckling'!$E$78,1,TRUE)," x ",FIXED('2. Properties'!$D$35,0,TRUE)," x ",FIXED('2. Properties'!$D$10,0,TRUE)," / ",FIXED('2. Properties'!$D$11,0,TRUE)," + (4 x ",FIXED('4. z-Buckling'!$E$78,1,TRUE)," x ",FIXED('2. Properties'!$D$38,0,TRUE)," + ",FIXED('2. Properties'!$D$39,0,TRUE)," x (",FIXED('2. Properties'!$D$36,0,TRUE)," - 2 x ",FIXED('2. Properties'!$D$38,0,TRUE),")) x (",FIXED('2. Properties'!$D$5,0,TRUE)," / ",FIXED('2. Properties'!$D$6,0,TRUE)," - 0.8 x ",FIXED('2. Properties'!$D$10,0,TRUE)," / ",FIXED('2. Properties'!$D$11,0,TRUE),")) / 1000")</f>
        <v>= (1.6 x 95.2 x 400 x 30 / 2 + (4 x 95.2 x 17 + 11 x (260 - 2 x 17)) x (345 / 1 - 0.8 x 30 / 2)) / 1000</v>
      </c>
      <c r="D88" s="38"/>
      <c r="E88" s="8">
        <f>(1.6*'4. z-Buckling'!$E$78*'2. Properties'!$D$35*'2. Properties'!$D$10/'2. Properties'!$D$11+(4*'4. z-Buckling'!$E$78*'2. Properties'!$D$38+'2. Properties'!$D$39*('2. Properties'!$D$36-2*'2. Properties'!$D$38))*('2. Properties'!$D$5/'2. Properties'!$D$6-0.8*'2. Properties'!$D$10/'2. Properties'!$D$11))/1000</f>
        <v>3883.7567236363639</v>
      </c>
      <c r="F88" s="6" t="s">
        <v>33</v>
      </c>
      <c r="G88" s="116" t="s">
        <v>284</v>
      </c>
      <c r="I88" s="31"/>
      <c r="J88" s="31"/>
      <c r="K88" s="31"/>
      <c r="L88" s="31"/>
      <c r="M88" s="31"/>
    </row>
    <row r="89" spans="2:31" ht="20.100000000000001" customHeight="1" x14ac:dyDescent="0.25">
      <c r="B89" s="20" t="s">
        <v>111</v>
      </c>
      <c r="C89" s="145" t="s">
        <v>112</v>
      </c>
      <c r="D89" s="145"/>
      <c r="E89" s="146"/>
      <c r="F89" s="146"/>
      <c r="I89" s="31"/>
      <c r="J89" s="31"/>
      <c r="K89" s="31"/>
      <c r="L89" s="31"/>
      <c r="M89" s="31"/>
    </row>
    <row r="90" spans="2:31" ht="39.950000000000003" customHeight="1" x14ac:dyDescent="0.25">
      <c r="C90" s="38" t="str">
        <f>CONCATENATE("= ((",FIXED('3. Sect Props'!$D$24,1,TRUE)," - ",FIXED('4. z-Buckling'!$E$84,0,TRUE),") x ",FIXED('2. Properties'!$D$5,0,TRUE)," / ",FIXED('2. Properties'!$D$6,0,TRUE)," + (",FIXED('3. Sect Props'!$D$37,0,TRUE)," - ",FIXED('4. z-Buckling'!$E$82,0,TRUE),") x ",FIXED('2. Properties'!$D$18,0,TRUE)," / ",FIXED('2. Properties'!$D$19,0,TRUE)," + 0.4 x ",FIXED('2. Properties'!$D$12,0,TRUE)," x (",FIXED('3. Sect Props'!$D$49,0,TRUE)," - ",FIXED('4. z-Buckling'!$E$86,0,TRUE),") x ",FIXED('2. Properties'!$D$10,0,TRUE)," / ",FIXED('2. Properties'!$D$11,0,TRUE),") / 10^6")</f>
        <v>= ((573099.0 - 319794) x 345 / 1 + (71930 - 0) x 415 / 1 + 0.4 x 1 x (15354971 - 3305422) x 30 / 2) / 10^6</v>
      </c>
      <c r="D90" s="38"/>
      <c r="E90" s="8">
        <f>(('3. Sect Props'!$D$24-'4. z-Buckling'!$E$84)*'2. Properties'!$D$5/'2. Properties'!$D$6+('3. Sect Props'!$D$37-'4. z-Buckling'!$E$82)*'2. Properties'!$D$18/'2. Properties'!$D$19+0.4*'2. Properties'!$D$12*('3. Sect Props'!$D$49-'4. z-Buckling'!$E$86)*'2. Properties'!$D$10/'2. Properties'!$D$11)/10^6</f>
        <v>187.33997289746299</v>
      </c>
      <c r="F90" s="6" t="s">
        <v>95</v>
      </c>
      <c r="G90" s="118" t="s">
        <v>311</v>
      </c>
      <c r="I90" s="31"/>
      <c r="J90" s="31"/>
      <c r="K90" s="31"/>
      <c r="L90" s="31"/>
      <c r="M90" s="31"/>
    </row>
    <row r="91" spans="2:31" ht="20.100000000000001" customHeight="1" x14ac:dyDescent="0.25">
      <c r="B91" s="20" t="s">
        <v>113</v>
      </c>
      <c r="C91" s="145" t="s">
        <v>114</v>
      </c>
      <c r="D91" s="145"/>
      <c r="E91" s="146"/>
      <c r="F91" s="146"/>
      <c r="I91" s="31"/>
      <c r="J91" s="75" t="s">
        <v>278</v>
      </c>
      <c r="K91" s="75" t="s">
        <v>279</v>
      </c>
      <c r="L91" s="75" t="s">
        <v>280</v>
      </c>
      <c r="M91" s="75" t="s">
        <v>281</v>
      </c>
    </row>
    <row r="92" spans="2:31" ht="35.1" customHeight="1" x14ac:dyDescent="0.25">
      <c r="C92" s="38" t="str">
        <f>CONCATENATE("= (",FIXED('3. Sect Props'!$D$24,1,TRUE)," x ",FIXED('2. Properties'!$D$5,0,TRUE)," / ",FIXED('2. Properties'!$D$6,0,TRUE)," + ",FIXED('3. Sect Props'!$D$37,0,TRUE)," x ",FIXED('2. Properties'!$D$18,0,TRUE)," / ",FIXED('2. Properties'!$D$19,0,TRUE)," + 0.4 x ",FIXED('2. Properties'!$D$12,0,TRUE)," x ",FIXED('3. Sect Props'!$D$49,0,TRUE)," x ",FIXED('2. Properties'!$D$10,0,TRUE)," / ",FIXED('2. Properties'!$D$11,0,TRUE),") / 10^6")</f>
        <v>= (573099.0 x 345 / 1 + 71930 x 415 / 1 + 0.4 x 1 x 15354971 x 30 / 2) / 10^6</v>
      </c>
      <c r="D92" s="38"/>
      <c r="E92" s="8">
        <f>('3. Sect Props'!$D$24*'2. Properties'!$D$5/'2. Properties'!$D$6+'3. Sect Props'!$D$37*'2. Properties'!$D$18/'2. Properties'!$D$19+0.4*'2. Properties'!$D$12*'3. Sect Props'!$D$49*'2. Properties'!$D$10/'2. Properties'!$D$11)/10^6</f>
        <v>310.11579965808124</v>
      </c>
      <c r="F92" s="6" t="s">
        <v>95</v>
      </c>
      <c r="G92" s="118" t="s">
        <v>312</v>
      </c>
      <c r="I92" s="75" t="s">
        <v>276</v>
      </c>
      <c r="J92" s="77">
        <v>0</v>
      </c>
      <c r="K92" s="77">
        <f>'4. z-Buckling'!$E$90</f>
        <v>187.33997289746299</v>
      </c>
      <c r="L92" s="77">
        <f>'4. z-Buckling'!$E$92</f>
        <v>310.11579965808124</v>
      </c>
      <c r="M92" s="77">
        <f>K92</f>
        <v>187.33997289746299</v>
      </c>
    </row>
    <row r="93" spans="2:31" x14ac:dyDescent="0.2">
      <c r="I93" s="76" t="s">
        <v>277</v>
      </c>
      <c r="J93" s="77">
        <f>'4. z-Buckling'!$E$18</f>
        <v>5700.799206509565</v>
      </c>
      <c r="K93" s="77">
        <f>'4. z-Buckling'!$E$88</f>
        <v>3883.7567236363639</v>
      </c>
      <c r="L93" s="77">
        <f>K93/2</f>
        <v>1941.8783618181819</v>
      </c>
      <c r="M93" s="77">
        <v>0</v>
      </c>
      <c r="Z93" s="31"/>
      <c r="AA93" s="31"/>
      <c r="AB93" s="31"/>
      <c r="AC93" s="31"/>
      <c r="AD93" s="31"/>
      <c r="AE93" s="31"/>
    </row>
    <row r="94" spans="2:31" x14ac:dyDescent="0.25">
      <c r="D94" s="6"/>
      <c r="I94" s="31"/>
      <c r="J94" s="31"/>
      <c r="K94" s="31"/>
      <c r="L94" s="31"/>
      <c r="M94" s="31"/>
      <c r="Y94" s="74" t="s">
        <v>282</v>
      </c>
      <c r="Z94" s="31"/>
      <c r="AA94" s="31"/>
      <c r="AB94" s="31"/>
      <c r="AC94" s="31"/>
    </row>
    <row r="95" spans="2:31" x14ac:dyDescent="0.25">
      <c r="C95" s="6" t="s">
        <v>115</v>
      </c>
      <c r="I95" s="32" t="s">
        <v>1</v>
      </c>
      <c r="J95" s="32" t="s">
        <v>2</v>
      </c>
      <c r="K95" s="32" t="s">
        <v>3</v>
      </c>
      <c r="L95" s="32" t="s">
        <v>4</v>
      </c>
      <c r="M95" s="32" t="s">
        <v>5</v>
      </c>
      <c r="S95" s="33" t="s">
        <v>6</v>
      </c>
      <c r="T95" s="33" t="s">
        <v>7</v>
      </c>
      <c r="Y95" s="32" t="s">
        <v>1</v>
      </c>
      <c r="Z95" s="32" t="s">
        <v>2</v>
      </c>
      <c r="AA95" s="32" t="s">
        <v>3</v>
      </c>
      <c r="AB95" s="32" t="s">
        <v>4</v>
      </c>
      <c r="AC95" s="32" t="s">
        <v>5</v>
      </c>
    </row>
    <row r="96" spans="2:31" x14ac:dyDescent="0.25">
      <c r="I96" s="31"/>
      <c r="J96" s="31"/>
      <c r="K96" s="31"/>
      <c r="L96" s="31"/>
      <c r="M96" s="31"/>
      <c r="Y96" s="31"/>
      <c r="Z96" s="31"/>
      <c r="AA96" s="31"/>
      <c r="AB96" s="31"/>
      <c r="AC96" s="31"/>
    </row>
    <row r="97" spans="5:29" x14ac:dyDescent="0.25">
      <c r="E97" s="34" t="str">
        <f>"P_d = "&amp;TEXT('4. z-Buckling'!$E$18,"#,##0")</f>
        <v>P_d = 5,701</v>
      </c>
      <c r="I97" s="78">
        <v>0</v>
      </c>
      <c r="J97" s="78">
        <f>(1-I97)^2*$J$92+2*(1-I97)*I97*(0.58*$K$92+0.45*$J$92)+I97^2*$K$92</f>
        <v>0</v>
      </c>
      <c r="K97" s="79">
        <f>(1-I97)^2*$J$93+2*(1-I97)*I97*(0.58*$K$93+0.45*$J$93)+I97^2*$K$93</f>
        <v>5700.799206509565</v>
      </c>
      <c r="L97" s="84">
        <f>$J$92</f>
        <v>0</v>
      </c>
      <c r="M97" s="85">
        <f>$J$93</f>
        <v>5700.799206509565</v>
      </c>
      <c r="S97" s="91">
        <f>0</f>
        <v>0</v>
      </c>
      <c r="T97" s="92">
        <f>$J$93</f>
        <v>5700.799206509565</v>
      </c>
      <c r="Y97" s="48">
        <v>0</v>
      </c>
      <c r="Z97" s="49">
        <f>(1-Y97)^2*0+2*(1-Y97)*Y97*(0.45*$K$92)+Y97^2*$K$92</f>
        <v>0</v>
      </c>
      <c r="AA97" s="50">
        <f>(1-Y97)^2*$J$93+2*(1-Y97)*Y97*(0.62*$J$93)+Y97^2*$K$93</f>
        <v>5700.799206509565</v>
      </c>
      <c r="AB97" s="56">
        <f>0</f>
        <v>0</v>
      </c>
      <c r="AC97" s="50">
        <f>$J$93</f>
        <v>5700.799206509565</v>
      </c>
    </row>
    <row r="98" spans="5:29" x14ac:dyDescent="0.25">
      <c r="E98" s="34" t="str">
        <f>"P'_d,C = "&amp;TEXT('4. z-Buckling'!$E$88,"0.0")</f>
        <v>P'_d,C = 3883.8</v>
      </c>
      <c r="I98" s="78">
        <v>0.25</v>
      </c>
      <c r="J98" s="78">
        <f>(1-I98)^2*$J$92+2*(1-I98)*I98*(0.58*$K$92+0.45*$J$92)+I98^2*$K$92</f>
        <v>52.45519241128963</v>
      </c>
      <c r="K98" s="79">
        <f>(1-I98)^2*$J$93+2*(1-I98)*I98*(0.58*$K$93+0.45*$J$93)+I98^2*$K$93</f>
        <v>5256.161302378302</v>
      </c>
      <c r="L98" s="86">
        <f>$K$92</f>
        <v>187.33997289746299</v>
      </c>
      <c r="M98" s="87">
        <f>$K$93</f>
        <v>3883.7567236363639</v>
      </c>
      <c r="S98" s="93">
        <f>$K$92</f>
        <v>187.33997289746299</v>
      </c>
      <c r="T98" s="94">
        <f>$K$93</f>
        <v>3883.7567236363639</v>
      </c>
      <c r="Y98" s="51">
        <v>0.25</v>
      </c>
      <c r="Z98" s="31">
        <f>(1-Y98)^2*0+2*(1-Y98)*Y98*(0.45*$K$92)+Y98^2*$K$92</f>
        <v>43.322368732538315</v>
      </c>
      <c r="AA98" s="52">
        <f>(1-Y98)^2*$J$93+2*(1-Y98)*Y98*(0.62*$J$93)+Y98^2*$K$93</f>
        <v>4774.8701644023777</v>
      </c>
      <c r="AB98" s="57">
        <f>$K$92</f>
        <v>187.33997289746299</v>
      </c>
      <c r="AC98" s="52">
        <f>$K$93</f>
        <v>3883.7567236363639</v>
      </c>
    </row>
    <row r="99" spans="5:29" x14ac:dyDescent="0.25">
      <c r="E99" s="34" t="str">
        <f>"P'_d,C/2 = "&amp;TEXT('4. z-Buckling'!$E$88/2,"0.00")</f>
        <v>P'_d,C/2 = 1941.88</v>
      </c>
      <c r="I99" s="78">
        <v>0.5</v>
      </c>
      <c r="J99" s="78">
        <f>(1-I99)^2*$J$92+2*(1-I99)*I99*(0.58*$K$92+0.45*$J$92)+I99^2*$K$92</f>
        <v>101.16358536463001</v>
      </c>
      <c r="K99" s="79">
        <f>(1-I99)^2*$J$93+2*(1-I99)*I99*(0.58*$K$93+0.45*$J$93)+I99^2*$K$93</f>
        <v>4805.1082538556802</v>
      </c>
      <c r="L99" s="90">
        <f>$L$92</f>
        <v>310.11579965808124</v>
      </c>
      <c r="M99" s="87">
        <f>$L$93</f>
        <v>1941.8783618181819</v>
      </c>
      <c r="S99" s="93">
        <f>$L$92</f>
        <v>310.11579965808124</v>
      </c>
      <c r="T99" s="94">
        <f>$K$93/2</f>
        <v>1941.8783618181819</v>
      </c>
      <c r="Y99" s="51">
        <v>0.5</v>
      </c>
      <c r="Z99" s="31">
        <f>(1-Y99)^2*0+2*(1-Y99)*Y99*(0.45*$K$92)+Y99^2*$K$92</f>
        <v>88.986487126294918</v>
      </c>
      <c r="AA99" s="52">
        <f>(1-Y99)^2*$J$93+2*(1-Y99)*Y99*(0.62*$J$93)+Y99^2*$K$93</f>
        <v>4163.3867365544475</v>
      </c>
      <c r="AB99" s="58">
        <f>$K$92</f>
        <v>187.33997289746299</v>
      </c>
      <c r="AC99" s="55">
        <f>0</f>
        <v>0</v>
      </c>
    </row>
    <row r="100" spans="5:29" x14ac:dyDescent="0.25">
      <c r="E100" s="34" t="str">
        <f>"M_max,y = "&amp;TEXT('4. z-Buckling'!$E$92,"0.0")</f>
        <v>M_max,y = 310.1</v>
      </c>
      <c r="I100" s="78">
        <v>0.75</v>
      </c>
      <c r="J100" s="78">
        <f>(1-I100)^2*$J$92+2*(1-I100)*I100*(0.58*$K$92+0.45*$J$92)+I100^2*$K$92</f>
        <v>146.12517886002112</v>
      </c>
      <c r="K100" s="79">
        <f>(1-I100)^2*$J$93+2*(1-I100)*I100*(0.58*$K$93+0.45*$J$93)+I100^2*$K$93</f>
        <v>4347.6400609417005</v>
      </c>
      <c r="L100" s="88">
        <f>$M$92</f>
        <v>187.33997289746299</v>
      </c>
      <c r="M100" s="89">
        <f>$M$93</f>
        <v>0</v>
      </c>
      <c r="S100" s="95">
        <f>$K$92</f>
        <v>187.33997289746299</v>
      </c>
      <c r="T100" s="96">
        <f>0</f>
        <v>0</v>
      </c>
      <c r="Y100" s="51">
        <v>0.75</v>
      </c>
      <c r="Z100" s="31">
        <f>(1-Y100)^2*0+2*(1-Y100)*Y100*(0.45*$K$92)+Y100^2*$K$92</f>
        <v>136.9923551812698</v>
      </c>
      <c r="AA100" s="52">
        <f>(1-Y100)^2*$J$93+2*(1-Y100)*Y100*(0.62*$J$93)+Y100^2*$K$93</f>
        <v>3866.3489229657762</v>
      </c>
      <c r="AB100" s="31"/>
      <c r="AC100" s="31"/>
    </row>
    <row r="101" spans="5:29" x14ac:dyDescent="0.25">
      <c r="E101" s="34" t="str">
        <f>"M_d,y = "&amp;TEXT('4. z-Buckling'!$E$90,"0.0")</f>
        <v>M_d,y = 187.3</v>
      </c>
      <c r="I101" s="78">
        <v>1</v>
      </c>
      <c r="J101" s="78">
        <f>(1-I101)^2*$J$92+2*(1-I101)*I101*(0.58*$K$92+0.45*$J$92)+I101^2*$K$92</f>
        <v>187.33997289746299</v>
      </c>
      <c r="K101" s="79">
        <f>(1-I101)^2*$J$93+2*(1-I101)*I101*(0.58*$K$93+0.45*$J$93)+I101^2*$K$93</f>
        <v>3883.7567236363639</v>
      </c>
      <c r="L101" s="31"/>
      <c r="M101" s="31"/>
      <c r="Y101" s="53">
        <v>1</v>
      </c>
      <c r="Z101" s="54">
        <f>(1-Y101)^2*0+2*(1-Y101)*Y101*(0.45*$K$92)+Y101^2*$K$92</f>
        <v>187.33997289746299</v>
      </c>
      <c r="AA101" s="55">
        <f>(1-Y101)^2*$J$93+2*(1-Y101)*Y101*(0.62*$J$93)+Y101^2*$K$93</f>
        <v>3883.7567236363639</v>
      </c>
      <c r="AB101" s="31"/>
      <c r="AC101" s="31"/>
    </row>
    <row r="102" spans="5:29" x14ac:dyDescent="0.25">
      <c r="I102" s="80">
        <v>0</v>
      </c>
      <c r="J102" s="77">
        <f>(1-I102)^2*$K$92+2*(1-I102)*I102*(0.62*$L$92+0.45*$K$92)+I102^2*$L$92</f>
        <v>187.33997289746299</v>
      </c>
      <c r="K102" s="77">
        <f>(1-I102)^2*$K$93+2*(1-I102)*I102*(0.62*$L$93+0.45*$K$93)+I102^2*$L$93</f>
        <v>3883.7567236363639</v>
      </c>
      <c r="L102" s="31"/>
      <c r="M102" s="31"/>
      <c r="Y102" s="48">
        <v>0.25</v>
      </c>
      <c r="Z102" s="49">
        <f>(1-Y102)^2*$K$92+2*(1-Y102)*Y102*(0.55*$L$92+0.45*$K$92)+Y102^2*$L$92</f>
        <v>220.33597633937916</v>
      </c>
      <c r="AA102" s="50">
        <f>(1-Y102)^2*$K$93+2*(1-Y102)*Y102*(0.62*$K$93)+Y102^2*$K$93/2</f>
        <v>3208.9539929045454</v>
      </c>
      <c r="AB102" s="31"/>
      <c r="AC102" s="31"/>
    </row>
    <row r="103" spans="5:29" x14ac:dyDescent="0.25">
      <c r="I103" s="80">
        <v>0.25</v>
      </c>
      <c r="J103" s="77">
        <f>(1-I103)^2*$K$92+2*(1-I103)*I103*(0.62*$L$92+0.45*$K$92)+I103^2*$L$92</f>
        <v>228.47651608040377</v>
      </c>
      <c r="K103" s="77">
        <f>(1-I103)^2*$K$93+2*(1-I103)*I103*(0.62*$L$93+0.45*$K$93)+I103^2*$L$93</f>
        <v>3412.8512208954548</v>
      </c>
      <c r="L103" s="31"/>
      <c r="M103" s="31"/>
      <c r="Y103" s="51">
        <v>0.5</v>
      </c>
      <c r="Z103" s="31">
        <f>(1-Y103)^2*$K$92+2*(1-Y103)*Y103*(0.55*$L$92+0.45*$K$92)+Y103^2*$L$92</f>
        <v>251.79728194678756</v>
      </c>
      <c r="AA103" s="52">
        <f>(1-Y103)^2*$K$93+2*(1-Y103)*Y103*(0.62*$K$93)+Y103^2*$K$93/2</f>
        <v>2660.3733556909096</v>
      </c>
      <c r="AB103" s="31"/>
      <c r="AC103" s="31"/>
    </row>
    <row r="104" spans="5:29" x14ac:dyDescent="0.25">
      <c r="I104" s="80">
        <v>0.5</v>
      </c>
      <c r="J104" s="77">
        <f>(1-I104)^2*$K$92+2*(1-I104)*I104*(0.62*$L$92+0.45*$K$92)+I104^2*$L$92</f>
        <v>262.6513349348204</v>
      </c>
      <c r="K104" s="77">
        <f>(1-I104)^2*$K$93+2*(1-I104)*I104*(0.62*$L$93+0.45*$K$93)+I104^2*$L$93</f>
        <v>2932.2363263454549</v>
      </c>
      <c r="L104" s="31"/>
      <c r="M104" s="31"/>
      <c r="Y104" s="51">
        <v>0.75</v>
      </c>
      <c r="Z104" s="31">
        <f>(1-Y104)^2*$K$92+2*(1-Y104)*Y104*(0.55*$L$92+0.45*$K$92)+Y104^2*$L$92</f>
        <v>281.72388971968826</v>
      </c>
      <c r="AA104" s="52">
        <f>(1-Y104)^2*$K$93+2*(1-Y104)*Y104*(0.62*$K$93)+Y104^2*$K$93/2</f>
        <v>2238.0148119954547</v>
      </c>
      <c r="AB104" s="31"/>
      <c r="AC104" s="31"/>
    </row>
    <row r="105" spans="5:29" x14ac:dyDescent="0.25">
      <c r="I105" s="80">
        <v>0.75</v>
      </c>
      <c r="J105" s="77">
        <f>(1-I105)^2*$K$92+2*(1-I105)*I105*(0.62*$L$92+0.45*$K$92)+I105^2*$L$92</f>
        <v>289.86442946071293</v>
      </c>
      <c r="K105" s="77">
        <f>(1-I105)^2*$K$93+2*(1-I105)*I105*(0.62*$L$93+0.45*$K$93)+I105^2*$L$93</f>
        <v>2441.9120399863641</v>
      </c>
      <c r="L105" s="31"/>
      <c r="M105" s="31"/>
      <c r="Y105" s="53">
        <v>1</v>
      </c>
      <c r="Z105" s="54">
        <f>(1-Y105)^2*$K$92+2*(1-Y105)*Y105*(0.55*$L$92+0.45*$K$92)+Y105^2*$L$92</f>
        <v>310.11579965808124</v>
      </c>
      <c r="AA105" s="55">
        <f>(1-Y105)^2*$K$93+2*(1-Y105)*Y105*(0.62*$K$93)+Y105^2*$K$93/2</f>
        <v>1941.8783618181819</v>
      </c>
      <c r="AB105" s="31"/>
      <c r="AC105" s="31"/>
    </row>
    <row r="106" spans="5:29" x14ac:dyDescent="0.25">
      <c r="I106" s="80">
        <v>1</v>
      </c>
      <c r="J106" s="77">
        <f>(1-I106)^2*$K$92+2*(1-I106)*I106*(0.62*$L$92+0.45*$K$92)+I106^2*$L$92</f>
        <v>310.11579965808124</v>
      </c>
      <c r="K106" s="77">
        <f>(1-I106)^2*$K$93+2*(1-I106)*I106*(0.62*$L$93+0.45*$K$93)+I106^2*$L$93</f>
        <v>1941.8783618181819</v>
      </c>
      <c r="L106" s="31"/>
      <c r="M106" s="31"/>
      <c r="Y106" s="48">
        <v>0.25</v>
      </c>
      <c r="Z106" s="49">
        <f>(1-Y106)^2*$L$92+2*(1-Y106)*Y106*($L$92+2)+Y106^2*$K$92</f>
        <v>303.19231048554258</v>
      </c>
      <c r="AA106" s="50">
        <f>(1-Y106)^2*$K$93/2+2*(1-Y106)*Y106*(0.32*$K$93)+Y106^2*0</f>
        <v>1558.357385359091</v>
      </c>
      <c r="AB106" s="31"/>
      <c r="AC106" s="31"/>
    </row>
    <row r="107" spans="5:29" x14ac:dyDescent="0.25">
      <c r="I107" s="78">
        <v>0</v>
      </c>
      <c r="J107" s="78">
        <f>(1-I107)^2*$L$92+2*(1-I107)*I107*($L$92+5)+I107^2*$M$92</f>
        <v>310.11579965808124</v>
      </c>
      <c r="K107" s="79">
        <f>(1-I107)^2*$L$93+2*(1-I107)*I107*(0.64*$L$93+5)+I107^2*$M$93</f>
        <v>1941.8783618181819</v>
      </c>
      <c r="L107" s="31"/>
      <c r="M107" s="31"/>
      <c r="Y107" s="51">
        <v>0.5</v>
      </c>
      <c r="Z107" s="31">
        <f>(1-Y107)^2*$L$92+2*(1-Y107)*Y107*($L$92+2)+Y107^2*$K$92</f>
        <v>280.42184296792669</v>
      </c>
      <c r="AA107" s="52">
        <f>(1-Y107)^2*$K$93/2+2*(1-Y107)*Y107*(0.32*$K$93)+Y107^2*0</f>
        <v>1106.8706662363638</v>
      </c>
      <c r="AB107" s="31"/>
      <c r="AC107" s="31"/>
    </row>
    <row r="108" spans="5:29" x14ac:dyDescent="0.25">
      <c r="I108" s="78">
        <v>0.25</v>
      </c>
      <c r="J108" s="78">
        <f>(1-I108)^2*$L$92+2*(1-I108)*I108*($L$92+5)+I108^2*$M$92</f>
        <v>304.31731048554258</v>
      </c>
      <c r="K108" s="79">
        <f>(1-I108)^2*$L$93+2*(1-I108)*I108*(0.64*$L$93+5)+I108^2*$M$93</f>
        <v>1560.232385359091</v>
      </c>
      <c r="L108" s="31"/>
      <c r="M108" s="31"/>
      <c r="Y108" s="51">
        <v>0.75</v>
      </c>
      <c r="Z108" s="31">
        <f>(1-Y108)^2*$L$92+2*(1-Y108)*Y108*($L$92+2)+Y108^2*$K$92</f>
        <v>241.80439710523348</v>
      </c>
      <c r="AA108" s="52">
        <f>(1-Y108)^2*$K$93/2+2*(1-Y108)*Y108*(0.32*$K$93)+Y108^2*0</f>
        <v>587.41820445000008</v>
      </c>
      <c r="AB108" s="31"/>
      <c r="AC108" s="31"/>
    </row>
    <row r="109" spans="5:29" x14ac:dyDescent="0.25">
      <c r="I109" s="78">
        <v>0.5</v>
      </c>
      <c r="J109" s="78">
        <f>(1-I109)^2*$L$92+2*(1-I109)*I109*($L$92+5)+I109^2*$M$92</f>
        <v>281.92184296792669</v>
      </c>
      <c r="K109" s="79">
        <f>(1-I109)^2*$L$93+2*(1-I109)*I109*(0.64*$L$93+5)+I109^2*$M$93</f>
        <v>1109.3706662363638</v>
      </c>
      <c r="L109" s="31"/>
      <c r="M109" s="31"/>
      <c r="Y109" s="53">
        <v>1</v>
      </c>
      <c r="Z109" s="54">
        <f>(1-Y109)^2*$L$92+2*(1-Y109)*Y109*($L$92+2)+Y109^2*$K$92</f>
        <v>187.33997289746299</v>
      </c>
      <c r="AA109" s="55">
        <f>(1-Y109)^2*$K$93/2+2*(1-Y109)*Y109*(0.32*$K$93)+Y109^2*0</f>
        <v>0</v>
      </c>
      <c r="AB109" s="31"/>
      <c r="AC109" s="31"/>
    </row>
    <row r="110" spans="5:29" x14ac:dyDescent="0.25">
      <c r="I110" s="78">
        <v>0.75</v>
      </c>
      <c r="J110" s="78">
        <f>(1-I110)^2*$L$92+2*(1-I110)*I110*($L$92+5)+I110^2*$M$92</f>
        <v>242.92939710523348</v>
      </c>
      <c r="K110" s="79">
        <f>(1-I110)^2*$L$93+2*(1-I110)*I110*(0.64*$L$93+5)+I110^2*$M$93</f>
        <v>589.29320445000008</v>
      </c>
      <c r="L110" s="31"/>
      <c r="M110" s="31"/>
    </row>
    <row r="111" spans="5:29" x14ac:dyDescent="0.25">
      <c r="I111" s="78">
        <v>1</v>
      </c>
      <c r="J111" s="78">
        <f>(1-I111)^2*$L$92+2*(1-I111)*I111*($L$92+5)+I111^2*$M$92</f>
        <v>187.33997289746299</v>
      </c>
      <c r="K111" s="79">
        <f>(1-I111)^2*$L$93+2*(1-I111)*I111*(0.64*$L$93+5)+I111^2*$M$93</f>
        <v>0</v>
      </c>
      <c r="L111" s="31"/>
      <c r="M111" s="31"/>
    </row>
    <row r="112" spans="5:29" x14ac:dyDescent="0.25">
      <c r="I112" s="31"/>
      <c r="J112" s="31"/>
      <c r="K112" s="31"/>
      <c r="L112" s="31"/>
      <c r="M112" s="31"/>
    </row>
    <row r="113" spans="3:13" ht="14.25" customHeight="1" x14ac:dyDescent="0.25">
      <c r="I113" s="31"/>
      <c r="J113" s="31"/>
      <c r="K113" s="31"/>
      <c r="L113" s="31"/>
      <c r="M113" s="31"/>
    </row>
    <row r="114" spans="3:13" x14ac:dyDescent="0.25">
      <c r="I114" s="31"/>
      <c r="J114" s="31"/>
      <c r="K114" s="31"/>
      <c r="L114" s="31"/>
      <c r="M114" s="31"/>
    </row>
    <row r="115" spans="3:13" x14ac:dyDescent="0.25">
      <c r="C115" s="151" t="str">
        <f>"Solid: plastic interaction curve through A→C→D→B;  dashed: simplified bilinear curve A→C→B.  (PDF figure labels these coordinates M_max,z / M_d,z – see V-5)"</f>
        <v>Solid: plastic interaction curve through A→C→D→B;  dashed: simplified bilinear curve A→C→B.  (PDF figure labels these coordinates M_max,z / M_d,z – see V-5)</v>
      </c>
      <c r="D115" s="151"/>
      <c r="E115" s="151"/>
      <c r="F115" s="151"/>
      <c r="I115" s="31"/>
      <c r="J115" s="31"/>
      <c r="K115" s="31"/>
      <c r="L115" s="31"/>
      <c r="M115" s="31"/>
    </row>
    <row r="116" spans="3:13" x14ac:dyDescent="0.25">
      <c r="C116" s="151"/>
      <c r="D116" s="151"/>
      <c r="E116" s="151"/>
      <c r="F116" s="151"/>
    </row>
  </sheetData>
  <mergeCells count="25">
    <mergeCell ref="C45:F45"/>
    <mergeCell ref="C47:F47"/>
    <mergeCell ref="C76:F76"/>
    <mergeCell ref="C115:F116"/>
    <mergeCell ref="C91:F91"/>
    <mergeCell ref="C89:F89"/>
    <mergeCell ref="C83:F83"/>
    <mergeCell ref="C87:F87"/>
    <mergeCell ref="C81:F81"/>
    <mergeCell ref="C85:F85"/>
    <mergeCell ref="C38:F38"/>
    <mergeCell ref="C42:F42"/>
    <mergeCell ref="C40:F40"/>
    <mergeCell ref="C32:F32"/>
    <mergeCell ref="C36:F36"/>
    <mergeCell ref="C17:F17"/>
    <mergeCell ref="C22:F22"/>
    <mergeCell ref="C24:F24"/>
    <mergeCell ref="C19:F19"/>
    <mergeCell ref="C12:F12"/>
    <mergeCell ref="C6:F6"/>
    <mergeCell ref="C10:F10"/>
    <mergeCell ref="C4:F4"/>
    <mergeCell ref="C14:F14"/>
    <mergeCell ref="C8:F8"/>
  </mergeCells>
  <pageMargins left="0.55118110236220474" right="0.55118110236220474" top="0.51181102362204722" bottom="0.51181102362204722" header="0.23622047244094491" footer="0.23622047244094491"/>
  <pageSetup scale="77" firstPageNumber="4" fitToHeight="9" orientation="portrait" useFirstPageNumber="1" r:id="rId1"/>
  <headerFooter>
    <oddFooter xml:space="preserve">&amp;R&amp;"Times New Roman,Regular"&amp;8 Calculation as per IS 11384:2022  </oddFooter>
  </headerFooter>
  <ignoredErrors>
    <ignoredError sqref="L56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G40"/>
  <sheetViews>
    <sheetView view="pageBreakPreview" zoomScale="115" zoomScaleNormal="100" zoomScaleSheetLayoutView="115" workbookViewId="0">
      <selection activeCell="C1" sqref="C1"/>
    </sheetView>
  </sheetViews>
  <sheetFormatPr defaultRowHeight="14.25" x14ac:dyDescent="0.25"/>
  <cols>
    <col min="1" max="1" width="2.140625" style="18" customWidth="1"/>
    <col min="2" max="2" width="15.42578125" style="18" customWidth="1"/>
    <col min="3" max="3" width="35.5703125" style="18" customWidth="1"/>
    <col min="4" max="4" width="13.42578125" style="18" customWidth="1"/>
    <col min="5" max="5" width="10" style="18" customWidth="1"/>
    <col min="6" max="6" width="36" style="18" customWidth="1"/>
    <col min="7" max="16384" width="9.140625" style="18"/>
  </cols>
  <sheetData>
    <row r="1" spans="2:7" ht="15.95" customHeight="1" x14ac:dyDescent="0.25">
      <c r="C1" s="64" t="s">
        <v>259</v>
      </c>
    </row>
    <row r="3" spans="2:7" ht="18" customHeight="1" x14ac:dyDescent="0.25">
      <c r="C3" s="19" t="s">
        <v>66</v>
      </c>
    </row>
    <row r="4" spans="2:7" ht="18" customHeight="1" x14ac:dyDescent="0.25">
      <c r="B4" s="20" t="s">
        <v>67</v>
      </c>
      <c r="C4" s="18" t="s">
        <v>68</v>
      </c>
      <c r="D4" s="12">
        <v>0.34</v>
      </c>
      <c r="F4" s="26" t="s">
        <v>285</v>
      </c>
    </row>
    <row r="5" spans="2:7" ht="18" customHeight="1" x14ac:dyDescent="0.25">
      <c r="B5" s="20" t="s">
        <v>69</v>
      </c>
      <c r="C5" s="145" t="s">
        <v>70</v>
      </c>
      <c r="D5" s="146"/>
      <c r="E5" s="146"/>
    </row>
    <row r="6" spans="2:7" ht="18" customHeight="1" x14ac:dyDescent="0.25">
      <c r="C6" s="38" t="str">
        <f>CONCATENATE("= 0.5 x (1 + ",FIXED('5. Global+2nd'!$D$4,2,TRUE)," x (",FIXED('4. z-Buckling'!$E$23,2,TRUE)," - 0.2) + ",FIXED('4. z-Buckling'!$E$23,2,TRUE),"^2)")</f>
        <v>= 0.5 x (1 + 0.34 x (0.74 - 0.2) + 0.74^2)</v>
      </c>
      <c r="D6" s="10">
        <f>0.5*(1+'5. Global+2nd'!$D$4*('4. z-Buckling'!$E$23-0.2)+'4. z-Buckling'!$E$23^2)</f>
        <v>0.864861088908641</v>
      </c>
      <c r="E6" s="6"/>
    </row>
    <row r="7" spans="2:7" ht="18" customHeight="1" x14ac:dyDescent="0.25">
      <c r="B7" s="20" t="s">
        <v>71</v>
      </c>
      <c r="C7" s="145" t="s">
        <v>72</v>
      </c>
      <c r="D7" s="146"/>
      <c r="E7" s="146"/>
    </row>
    <row r="8" spans="2:7" ht="18" customHeight="1" x14ac:dyDescent="0.25">
      <c r="C8" s="38" t="str">
        <f>CONCATENATE("= 1 / (",FIXED('5. Global+2nd'!$D$6,2,TRUE)," + √(",FIXED('5. Global+2nd'!$D$6,2,TRUE),"^2 - ",FIXED('4. z-Buckling'!$E$23,2,TRUE),"^2))")</f>
        <v>= 1 / (0.86 + √(0.86^2 - 0.74^2))</v>
      </c>
      <c r="D8" s="13">
        <f>1/('5. Global+2nd'!$D$6+SQRT('5. Global+2nd'!$D$6^2-'4. z-Buckling'!$E$23^2))</f>
        <v>0.76112493671284043</v>
      </c>
      <c r="E8" s="6"/>
      <c r="F8" s="19" t="s">
        <v>73</v>
      </c>
    </row>
    <row r="9" spans="2:7" ht="18" customHeight="1" x14ac:dyDescent="0.25">
      <c r="B9" s="20" t="s">
        <v>74</v>
      </c>
      <c r="C9" s="38" t="str">
        <f>CONCATENATE("= ",FIXED('4. z-Buckling'!$E$5,1,TRUE)," / (",FIXED('5. Global+2nd'!$D$8,2,TRUE)," x ",FIXED('4. z-Buckling'!$E$18,2,TRUE),")")</f>
        <v>= 1800.0 / (0.76 x 5700.80)</v>
      </c>
      <c r="D9" s="106">
        <f>'4. z-Buckling'!$E$5/('5. Global+2nd'!$D$8*'4. z-Buckling'!$E$18)</f>
        <v>0.41484017576173349</v>
      </c>
      <c r="E9" s="6"/>
      <c r="F9" s="19" t="s">
        <v>75</v>
      </c>
      <c r="G9" s="122">
        <f>D9</f>
        <v>0.41484017576173349</v>
      </c>
    </row>
    <row r="10" spans="2:7" ht="18" customHeight="1" x14ac:dyDescent="0.25"/>
    <row r="11" spans="2:7" ht="18" customHeight="1" x14ac:dyDescent="0.25">
      <c r="C11" s="19" t="s">
        <v>76</v>
      </c>
    </row>
    <row r="12" spans="2:7" ht="18" customHeight="1" x14ac:dyDescent="0.25">
      <c r="B12" s="20" t="s">
        <v>77</v>
      </c>
      <c r="C12" s="18" t="s">
        <v>78</v>
      </c>
      <c r="D12" s="12">
        <v>0.49</v>
      </c>
      <c r="F12" s="26" t="s">
        <v>286</v>
      </c>
    </row>
    <row r="13" spans="2:7" ht="18" customHeight="1" x14ac:dyDescent="0.25">
      <c r="B13" s="20" t="s">
        <v>69</v>
      </c>
      <c r="C13" s="145" t="s">
        <v>79</v>
      </c>
      <c r="D13" s="146"/>
      <c r="E13" s="146"/>
    </row>
    <row r="14" spans="2:7" ht="18" customHeight="1" x14ac:dyDescent="0.25">
      <c r="C14" s="38" t="str">
        <f>CONCATENATE("= 0.5 x (1 + ",FIXED('5. Global+2nd'!$D$12,2,TRUE)," x (",FIXED('4. z-Buckling'!$E$25,2,TRUE)," - 0.2) + ",FIXED('4. z-Buckling'!$E$25,2,TRUE),"^2)")</f>
        <v>= 0.5 x (1 + 0.49 x (0.87 - 0.2) + 0.87^2)</v>
      </c>
      <c r="D14" s="10">
        <f>0.5*(1+'5. Global+2nd'!$D$12*('4. z-Buckling'!$E$25-0.2)+'4. z-Buckling'!$E$25^2)</f>
        <v>1.0421464223818537</v>
      </c>
      <c r="E14" s="6"/>
    </row>
    <row r="15" spans="2:7" ht="18" customHeight="1" x14ac:dyDescent="0.25">
      <c r="B15" s="20" t="s">
        <v>80</v>
      </c>
      <c r="C15" s="145" t="s">
        <v>81</v>
      </c>
      <c r="D15" s="146"/>
      <c r="E15" s="146"/>
    </row>
    <row r="16" spans="2:7" ht="18" customHeight="1" x14ac:dyDescent="0.25">
      <c r="C16" s="38" t="str">
        <f>CONCATENATE("= 1 / (",FIXED('5. Global+2nd'!$D$14,2,TRUE)," + √(",FIXED('5. Global+2nd'!$D$14,2,TRUE),"^2 - ",FIXED('4. z-Buckling'!$E$25,2,TRUE),"^2))")</f>
        <v>= 1 / (1.04 + √(1.04^2 - 0.87^2))</v>
      </c>
      <c r="D16" s="13">
        <f>1/('5. Global+2nd'!$D$14+SQRT('5. Global+2nd'!$D$14^2-'4. z-Buckling'!$E$25^2))</f>
        <v>0.61862216796665559</v>
      </c>
      <c r="E16" s="6"/>
      <c r="F16" s="19" t="s">
        <v>82</v>
      </c>
    </row>
    <row r="17" spans="2:7" ht="18" customHeight="1" x14ac:dyDescent="0.25">
      <c r="B17" s="20" t="s">
        <v>83</v>
      </c>
      <c r="C17" s="38" t="str">
        <f>CONCATENATE("= ",FIXED('4. z-Buckling'!$E$5,1,TRUE)," / (",FIXED('5. Global+2nd'!$D$16,2,TRUE)," x ",FIXED('4. z-Buckling'!$E$18,2,TRUE),")")</f>
        <v>= 1800.0 / (0.62 x 5700.80)</v>
      </c>
      <c r="D17" s="106">
        <f>'4. z-Buckling'!$E$5/('5. Global+2nd'!$D$16*'4. z-Buckling'!$E$18)</f>
        <v>0.51040072417775362</v>
      </c>
      <c r="E17" s="6"/>
      <c r="F17" s="19" t="s">
        <v>75</v>
      </c>
      <c r="G17" s="122">
        <f>D17</f>
        <v>0.51040072417775362</v>
      </c>
    </row>
    <row r="19" spans="2:7" ht="15.75" x14ac:dyDescent="0.25">
      <c r="C19" s="99" t="s">
        <v>287</v>
      </c>
    </row>
    <row r="21" spans="2:7" ht="18" customHeight="1" x14ac:dyDescent="0.25">
      <c r="C21" s="19" t="s">
        <v>84</v>
      </c>
    </row>
    <row r="22" spans="2:7" ht="18" customHeight="1" x14ac:dyDescent="0.25">
      <c r="C22" s="100" t="str">
        <f>"As λz = "&amp;TEXT('4. z-Buckling'!$E$23,"0.00")&amp;" &gt; 0.2 → second-order moment must be considered for bending about z-axis"</f>
        <v>As λz = 0.74 &gt; 0.2 → second-order moment must be considered for bending about z-axis</v>
      </c>
    </row>
    <row r="23" spans="2:7" ht="15.75" x14ac:dyDescent="0.25">
      <c r="C23" s="100" t="s">
        <v>85</v>
      </c>
    </row>
    <row r="24" spans="2:7" x14ac:dyDescent="0.25">
      <c r="B24" s="102" t="s">
        <v>288</v>
      </c>
      <c r="D24" s="13">
        <v>0</v>
      </c>
    </row>
    <row r="25" spans="2:7" x14ac:dyDescent="0.25">
      <c r="B25" s="20" t="s">
        <v>86</v>
      </c>
      <c r="C25" s="145" t="s">
        <v>87</v>
      </c>
      <c r="D25" s="146"/>
      <c r="E25" s="146"/>
    </row>
    <row r="26" spans="2:7" ht="22.5" x14ac:dyDescent="0.25">
      <c r="C26" s="40" t="str">
        <f>CONCATENATE("0.6 + 0.4 × ",D24)</f>
        <v>0.6 + 0.4 × 0</v>
      </c>
      <c r="D26" s="13">
        <f>0.6+0.4*D24</f>
        <v>0.6</v>
      </c>
      <c r="E26" s="6"/>
      <c r="F26" s="19" t="s">
        <v>88</v>
      </c>
    </row>
    <row r="27" spans="2:7" x14ac:dyDescent="0.25">
      <c r="B27" s="20" t="s">
        <v>89</v>
      </c>
      <c r="C27" s="145" t="s">
        <v>90</v>
      </c>
      <c r="D27" s="146"/>
      <c r="E27" s="146"/>
    </row>
    <row r="28" spans="2:7" x14ac:dyDescent="0.25">
      <c r="C28" s="38" t="str">
        <f>CONCATENATE("= ",FIXED('5. Global+2nd'!$D$26,2,TRUE)," / (1 - ",FIXED('4. z-Buckling'!$E$5,2,TRUE)," / ",FIXED('4. z-Buckling'!$E$11,2,TRUE),")")</f>
        <v>= 0.60 / (1 - 1800.00 / 12968.41)</v>
      </c>
      <c r="D28" s="10">
        <f>'5. Global+2nd'!$D$26/(1-'4. z-Buckling'!$E$5/'4. z-Buckling'!$E$11)</f>
        <v>0.69670128248054608</v>
      </c>
      <c r="E28" s="6"/>
      <c r="F28" s="26" t="str">
        <f>IF(D28&lt;1,CONCATENATE("= ",FIXED(D28,3,TRUE)," &lt; 1.0 → take kz = 1.0"),CONCATENATE("= ",FIXED(D28,3,TRUE)," &gt; 1.0 → take kz ≠ 1.0"))</f>
        <v>= 0.697 &lt; 1.0 → take kz = 1.0</v>
      </c>
    </row>
    <row r="29" spans="2:7" x14ac:dyDescent="0.25">
      <c r="B29" s="20" t="s">
        <v>91</v>
      </c>
      <c r="C29" s="19"/>
      <c r="D29" s="8">
        <f>1</f>
        <v>1</v>
      </c>
      <c r="E29" s="6"/>
      <c r="F29" s="26" t="s">
        <v>289</v>
      </c>
    </row>
    <row r="30" spans="2:7" x14ac:dyDescent="0.25">
      <c r="B30" s="20" t="s">
        <v>93</v>
      </c>
      <c r="C30" s="145" t="s">
        <v>94</v>
      </c>
      <c r="D30" s="146"/>
      <c r="E30" s="146"/>
    </row>
    <row r="31" spans="2:7" x14ac:dyDescent="0.25">
      <c r="C31" s="38" t="str">
        <f>CONCATENATE("= ",FIXED('5. Global+2nd'!$D$29,2,TRUE)," x ",FIXED('2. Properties'!$D$30,2,TRUE))</f>
        <v>= 1.00 x 380.00</v>
      </c>
      <c r="D31" s="7">
        <f>'5. Global+2nd'!$D$29*'2. Properties'!$D$30</f>
        <v>380</v>
      </c>
      <c r="E31" s="43" t="s">
        <v>249</v>
      </c>
      <c r="F31" s="19"/>
    </row>
    <row r="33" spans="2:6" x14ac:dyDescent="0.25">
      <c r="C33" s="19" t="s">
        <v>96</v>
      </c>
    </row>
    <row r="34" spans="2:6" x14ac:dyDescent="0.25">
      <c r="C34" s="100" t="str">
        <f>"As λy = "&amp;TEXT('4. z-Buckling'!$E$25,"0.00")&amp;" &gt; 0.2 → second-order moment must be considered for bending about y-axis"</f>
        <v>As λy = 0.87 &gt; 0.2 → second-order moment must be considered for bending about y-axis</v>
      </c>
    </row>
    <row r="35" spans="2:6" ht="15.75" x14ac:dyDescent="0.25">
      <c r="C35" s="100" t="s">
        <v>85</v>
      </c>
    </row>
    <row r="36" spans="2:6" x14ac:dyDescent="0.25">
      <c r="B36" s="20" t="s">
        <v>97</v>
      </c>
      <c r="C36" s="145" t="s">
        <v>98</v>
      </c>
      <c r="D36" s="146"/>
      <c r="E36" s="146"/>
    </row>
    <row r="37" spans="2:6" x14ac:dyDescent="0.25">
      <c r="C37" s="38" t="str">
        <f>CONCATENATE("= ",FIXED('5. Global+2nd'!$D$26,2,TRUE)," / (1 - ",FIXED('4. z-Buckling'!$E$5,2,TRUE)," / ",FIXED('4. z-Buckling'!$E$13,2,TRUE),")")</f>
        <v>= 0.60 / (1 - 1800.00 / 9370.53)</v>
      </c>
      <c r="D37" s="10">
        <f>'5. Global+2nd'!$D$26/(1-'4. z-Buckling'!$E$5/'4. z-Buckling'!$E$13)</f>
        <v>0.74265846959790094</v>
      </c>
      <c r="E37" s="6"/>
      <c r="F37" s="26" t="str">
        <f>IF(D37&lt;1,CONCATENATE("= ",FIXED(D37,3,TRUE)," &lt; 1.0 → take ky = 1.0"),CONCATENATE("= ",FIXED(D37,3,TRUE)," &gt; 1.0 → take ky ≠ 1.0"))</f>
        <v>= 0.743 &lt; 1.0 → take ky = 1.0</v>
      </c>
    </row>
    <row r="38" spans="2:6" x14ac:dyDescent="0.25">
      <c r="B38" s="20" t="s">
        <v>99</v>
      </c>
      <c r="C38" s="19"/>
      <c r="D38" s="8">
        <f>1</f>
        <v>1</v>
      </c>
      <c r="E38" s="6"/>
      <c r="F38" s="19" t="s">
        <v>92</v>
      </c>
    </row>
    <row r="39" spans="2:6" x14ac:dyDescent="0.25">
      <c r="B39" s="20" t="s">
        <v>100</v>
      </c>
      <c r="C39" s="145" t="s">
        <v>101</v>
      </c>
      <c r="D39" s="146"/>
      <c r="E39" s="146"/>
    </row>
    <row r="40" spans="2:6" x14ac:dyDescent="0.25">
      <c r="C40" s="38" t="str">
        <f>CONCATENATE("= ",FIXED('5. Global+2nd'!$D$38,2,TRUE)," x ",FIXED('2. Properties'!$D$31,2,TRUE))</f>
        <v>= 1.00 x 50.00</v>
      </c>
      <c r="D40" s="7">
        <f>'5. Global+2nd'!$D$38*'2. Properties'!$D$31</f>
        <v>50</v>
      </c>
      <c r="E40" s="43" t="s">
        <v>249</v>
      </c>
      <c r="F40" s="19"/>
    </row>
  </sheetData>
  <mergeCells count="9">
    <mergeCell ref="C39:E39"/>
    <mergeCell ref="C25:E25"/>
    <mergeCell ref="C15:E15"/>
    <mergeCell ref="C7:E7"/>
    <mergeCell ref="C5:E5"/>
    <mergeCell ref="C30:E30"/>
    <mergeCell ref="C27:E27"/>
    <mergeCell ref="C36:E36"/>
    <mergeCell ref="C13:E13"/>
  </mergeCells>
  <conditionalFormatting sqref="D9">
    <cfRule type="cellIs" dxfId="11" priority="3" operator="greaterThanOrEqual">
      <formula>1</formula>
    </cfRule>
  </conditionalFormatting>
  <conditionalFormatting sqref="D17">
    <cfRule type="cellIs" dxfId="10" priority="1" operator="greaterThanOrEqual">
      <formula>1</formula>
    </cfRule>
  </conditionalFormatting>
  <pageMargins left="0.55118110236220474" right="0.55118110236220474" top="0.51181102362204722" bottom="0.51181102362204722" header="0.23622047244094491" footer="0.23622047244094491"/>
  <pageSetup scale="83" firstPageNumber="8" fitToHeight="9" orientation="portrait" useFirstPageNumber="1" r:id="rId1"/>
  <headerFooter>
    <oddFooter xml:space="preserve">&amp;R&amp;"Times New Roman,Regular"&amp;8 Calculation as per IS 11384:2022  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D19EEA0C-8822-4732-BAC5-F40349A854E0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G9</xm:sqref>
        </x14:conditionalFormatting>
        <x14:conditionalFormatting xmlns:xm="http://schemas.microsoft.com/office/excel/2006/main">
          <x14:cfRule type="iconSet" priority="4" id="{F5CA439E-B093-48C1-B975-70C9A950D0D4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50"/>
  <sheetViews>
    <sheetView view="pageBreakPreview" zoomScale="115" zoomScaleNormal="100" zoomScaleSheetLayoutView="115" workbookViewId="0">
      <selection activeCell="C19" sqref="C19"/>
    </sheetView>
  </sheetViews>
  <sheetFormatPr defaultRowHeight="14.25" x14ac:dyDescent="0.25"/>
  <cols>
    <col min="1" max="1" width="2.140625" style="18" customWidth="1"/>
    <col min="2" max="2" width="15.42578125" style="18" customWidth="1"/>
    <col min="3" max="3" width="37.5703125" style="18" customWidth="1"/>
    <col min="4" max="4" width="11.140625" style="18" customWidth="1"/>
    <col min="5" max="5" width="10" style="18" customWidth="1"/>
    <col min="6" max="6" width="36" style="18" customWidth="1"/>
    <col min="7" max="16384" width="9.140625" style="18"/>
  </cols>
  <sheetData>
    <row r="1" spans="2:7" ht="15.95" customHeight="1" x14ac:dyDescent="0.25">
      <c r="C1" s="64" t="s">
        <v>260</v>
      </c>
    </row>
    <row r="2" spans="2:7" x14ac:dyDescent="0.25">
      <c r="C2" s="6"/>
    </row>
    <row r="3" spans="2:7" x14ac:dyDescent="0.25">
      <c r="C3" s="19" t="s">
        <v>28</v>
      </c>
    </row>
    <row r="4" spans="2:7" x14ac:dyDescent="0.25">
      <c r="B4" s="20" t="s">
        <v>29</v>
      </c>
      <c r="C4" s="145" t="s">
        <v>30</v>
      </c>
      <c r="D4" s="146"/>
      <c r="E4" s="146"/>
    </row>
    <row r="5" spans="2:7" x14ac:dyDescent="0.25">
      <c r="C5" s="38" t="str">
        <f>CONCATENATE("= ",FIXED('2. Properties'!$D$36,2,TRUE)," x ",FIXED('2. Properties'!$D$39,2,TRUE))</f>
        <v>= 260.00 x 10.50</v>
      </c>
      <c r="D5" s="7">
        <f>'2. Properties'!$D$36*'2. Properties'!$D$39</f>
        <v>2730</v>
      </c>
      <c r="E5" s="43" t="s">
        <v>250</v>
      </c>
    </row>
    <row r="6" spans="2:7" x14ac:dyDescent="0.25">
      <c r="B6" s="20" t="s">
        <v>31</v>
      </c>
      <c r="C6" s="145" t="s">
        <v>32</v>
      </c>
      <c r="D6" s="146"/>
      <c r="E6" s="146"/>
    </row>
    <row r="7" spans="2:7" x14ac:dyDescent="0.25">
      <c r="C7" s="38" t="str">
        <f>CONCATENATE("= ",FIXED('6. Shear+DC'!$D$5,2,TRUE)," x ",FIXED('2. Properties'!$D$5,2,TRUE)," / √3 / 1000")</f>
        <v>= 2730.00 x 345.00 / √3 / 1000</v>
      </c>
      <c r="D7" s="7">
        <f>'6. Shear+DC'!$D$5*'2. Properties'!$D$5/SQRT(3)/1000</f>
        <v>543.77735103624912</v>
      </c>
      <c r="E7" s="43" t="s">
        <v>248</v>
      </c>
    </row>
    <row r="8" spans="2:7" x14ac:dyDescent="0.25">
      <c r="B8" s="20" t="s">
        <v>34</v>
      </c>
      <c r="C8" s="38" t="str">
        <f>CONCATENATE("= ",FIXED('3. Sect Props'!$D$8,2,TRUE)," / ",FIXED('6. Shear+DC'!$D$7,2,TRUE))</f>
        <v>= 54.29 / 543.78</v>
      </c>
      <c r="D8" s="106">
        <f>'3. Sect Props'!$D$8/'6. Shear+DC'!$D$7</f>
        <v>9.9830774824042845E-2</v>
      </c>
      <c r="E8" s="6"/>
      <c r="G8" s="122">
        <f>D8</f>
        <v>9.9830774824042845E-2</v>
      </c>
    </row>
    <row r="9" spans="2:7" x14ac:dyDescent="0.25">
      <c r="C9" s="100" t="str">
        <f>"→ the effects of shear along y-axis on the moment and axial strengths are ignored."</f>
        <v>→ the effects of shear along y-axis on the moment and axial strengths are ignored.</v>
      </c>
    </row>
    <row r="11" spans="2:7" x14ac:dyDescent="0.25">
      <c r="C11" s="19" t="s">
        <v>36</v>
      </c>
    </row>
    <row r="12" spans="2:7" x14ac:dyDescent="0.25">
      <c r="B12" s="20" t="s">
        <v>37</v>
      </c>
      <c r="C12" s="145" t="s">
        <v>38</v>
      </c>
      <c r="D12" s="146"/>
      <c r="E12" s="146"/>
    </row>
    <row r="13" spans="2:7" x14ac:dyDescent="0.25">
      <c r="C13" s="38" t="str">
        <f>CONCATENATE("= 2 x ",FIXED('2. Properties'!$D$37,2,TRUE)," x ",FIXED('2. Properties'!$D$38,2,TRUE))</f>
        <v>= 2 x 256.00 x 17.30</v>
      </c>
      <c r="D13" s="7">
        <f>2*'2. Properties'!$D$37*'2. Properties'!$D$38</f>
        <v>8857.6</v>
      </c>
      <c r="E13" s="43" t="s">
        <v>250</v>
      </c>
    </row>
    <row r="14" spans="2:7" x14ac:dyDescent="0.25">
      <c r="B14" s="20" t="s">
        <v>39</v>
      </c>
      <c r="C14" s="145" t="s">
        <v>40</v>
      </c>
      <c r="D14" s="146"/>
      <c r="E14" s="146"/>
    </row>
    <row r="15" spans="2:7" x14ac:dyDescent="0.25">
      <c r="C15" s="38" t="str">
        <f>CONCATENATE("= ",FIXED('6. Shear+DC'!$D$13,2,TRUE)," x ",FIXED('2. Properties'!$D$5,2,TRUE)," / √3 / 1000")</f>
        <v>= 8857.60 x 345.00 / √3 / 1000</v>
      </c>
      <c r="D15" s="7">
        <f>'6. Shear+DC'!$D$13*'2. Properties'!$D$5/SQRT(3)/1000</f>
        <v>1764.30852180904</v>
      </c>
      <c r="E15" s="43" t="s">
        <v>248</v>
      </c>
      <c r="F15" s="19" t="s">
        <v>41</v>
      </c>
    </row>
    <row r="16" spans="2:7" x14ac:dyDescent="0.25">
      <c r="B16" s="20" t="s">
        <v>42</v>
      </c>
      <c r="C16" s="38" t="str">
        <f>CONCATENATE("= ",FIXED('3. Sect Props'!$D$10,2,TRUE)," / ",FIXED('6. Shear+DC'!$D$15,2,TRUE))</f>
        <v>= 7.14 / 1764.31</v>
      </c>
      <c r="D16" s="106">
        <f>'3. Sect Props'!$D$10/'6. Shear+DC'!$D$15</f>
        <v>4.0485306592144043E-3</v>
      </c>
      <c r="E16" s="6"/>
      <c r="F16" s="19" t="s">
        <v>35</v>
      </c>
      <c r="G16" s="122">
        <f>D16</f>
        <v>4.0485306592144043E-3</v>
      </c>
    </row>
    <row r="17" spans="2:8" x14ac:dyDescent="0.25">
      <c r="C17" s="100" t="str">
        <f>"→ the effects of shear along z-axis on the moment and axial strengths are ignored."</f>
        <v>→ the effects of shear along z-axis on the moment and axial strengths are ignored.</v>
      </c>
    </row>
    <row r="19" spans="2:8" x14ac:dyDescent="0.25">
      <c r="C19" s="11" t="s">
        <v>43</v>
      </c>
    </row>
    <row r="21" spans="2:8" x14ac:dyDescent="0.25">
      <c r="B21" s="20" t="s">
        <v>44</v>
      </c>
      <c r="C21" s="145" t="s">
        <v>45</v>
      </c>
      <c r="D21" s="146"/>
      <c r="E21" s="146"/>
    </row>
    <row r="22" spans="2:8" ht="24" x14ac:dyDescent="0.25">
      <c r="C22" s="38" t="str">
        <f>CONCATENATE("= ",FIXED('3. Sect Props'!$D$41,2,TRUE)," x (",FIXED('2. Properties'!$D$13,2,TRUE)," / ",FIXED('2. Properties'!$D$11,2,TRUE),") x ",FIXED('2. Properties'!$D$14,2,TRUE)," x ",FIXED('4. z-Buckling'!$E$25,2,TRUE)," x ",FIXED('2. Properties'!$D$10,2,TRUE)," / 1000")</f>
        <v>= 148323.31 x (1.00 / 1.50) x 1.00 x 0.87 x 30.00 / 1000</v>
      </c>
      <c r="D22" s="7">
        <f>'3. Sect Props'!$D$41*('2. Properties'!$D$13/'2. Properties'!$D$11)*'2. Properties'!$D$14*'4. z-Buckling'!$E$25*'2. Properties'!$D$10/1000</f>
        <v>2579.6186384347952</v>
      </c>
      <c r="E22" s="43" t="s">
        <v>248</v>
      </c>
      <c r="F22" s="19" t="s">
        <v>46</v>
      </c>
    </row>
    <row r="23" spans="2:8" x14ac:dyDescent="0.25">
      <c r="B23" s="20" t="s">
        <v>47</v>
      </c>
      <c r="C23" s="145" t="s">
        <v>48</v>
      </c>
      <c r="D23" s="146"/>
      <c r="E23" s="146"/>
    </row>
    <row r="24" spans="2:8" ht="24" x14ac:dyDescent="0.25">
      <c r="C24" s="38" t="str">
        <f>CONCATENATE("= ",FIXED('3. Sect Props'!$D$41,2,TRUE)," x (",FIXED('2. Properties'!$D$13,2,TRUE)," / ",FIXED('2. Properties'!$D$11,2,TRUE),") x ",FIXED('2. Properties'!$D$14,2,TRUE)," x ",FIXED('4. z-Buckling'!$E$23,2,TRUE)," x ",FIXED('2. Properties'!$D$10,2,TRUE)," / 1000")</f>
        <v>= 148323.31 x (1.00 / 1.50) x 1.00 x 0.74 x 30.00 / 1000</v>
      </c>
      <c r="D24" s="7">
        <f>'3. Sect Props'!$D$41*('2. Properties'!$D$13/'2. Properties'!$D$11)*'2. Properties'!$D$14*'4. z-Buckling'!$E$23*'2. Properties'!$D$10/1000</f>
        <v>2192.7751805961234</v>
      </c>
      <c r="E24" s="43" t="s">
        <v>248</v>
      </c>
    </row>
    <row r="25" spans="2:8" x14ac:dyDescent="0.25">
      <c r="B25" s="20" t="s">
        <v>49</v>
      </c>
      <c r="C25" s="38" t="str">
        <f>FIXED('4. z-Buckling'!$E$18,3,TRUE)</f>
        <v>5700.799</v>
      </c>
      <c r="D25" s="7">
        <f>'4. z-Buckling'!$E$18</f>
        <v>5700.799206509565</v>
      </c>
      <c r="E25" s="43" t="s">
        <v>248</v>
      </c>
    </row>
    <row r="26" spans="2:8" x14ac:dyDescent="0.25">
      <c r="B26" s="20" t="s">
        <v>50</v>
      </c>
      <c r="C26" s="145" t="s">
        <v>51</v>
      </c>
      <c r="D26" s="146"/>
      <c r="E26" s="146"/>
    </row>
    <row r="27" spans="2:8" x14ac:dyDescent="0.25">
      <c r="C27" s="38" t="str">
        <f>CONCATENATE("= ",FIXED('6. Shear+DC'!$D$22,2,TRUE)," / ",FIXED('4. z-Buckling'!$E$18,2,TRUE))</f>
        <v>= 2579.62 / 5700.80</v>
      </c>
      <c r="D27" s="121">
        <f>'6. Shear+DC'!$D$22/'4. z-Buckling'!$E$18</f>
        <v>0.45250122745758331</v>
      </c>
      <c r="E27" s="6"/>
      <c r="G27" s="122">
        <f>D27</f>
        <v>0.45250122745758331</v>
      </c>
      <c r="H27" s="105"/>
    </row>
    <row r="28" spans="2:8" x14ac:dyDescent="0.25">
      <c r="B28" s="20" t="s">
        <v>52</v>
      </c>
      <c r="C28" s="145" t="s">
        <v>53</v>
      </c>
      <c r="D28" s="146"/>
      <c r="E28" s="146"/>
    </row>
    <row r="29" spans="2:8" x14ac:dyDescent="0.25">
      <c r="C29" s="38" t="str">
        <f>CONCATENATE("= ",FIXED('6. Shear+DC'!$D$24,2,TRUE)," / ",FIXED('4. z-Buckling'!$E$18,2,TRUE))</f>
        <v>= 2192.78 / 5700.80</v>
      </c>
      <c r="D29" s="121">
        <f>'6. Shear+DC'!$D$24/'4. z-Buckling'!$E$18</f>
        <v>0.38464346860213244</v>
      </c>
      <c r="E29" s="6"/>
      <c r="G29" s="122">
        <f>D29</f>
        <v>0.38464346860213244</v>
      </c>
    </row>
    <row r="30" spans="2:8" x14ac:dyDescent="0.25">
      <c r="B30" s="20" t="s">
        <v>54</v>
      </c>
      <c r="C30" s="145" t="s">
        <v>55</v>
      </c>
      <c r="D30" s="146"/>
      <c r="E30" s="146"/>
    </row>
    <row r="31" spans="2:8" x14ac:dyDescent="0.25">
      <c r="C31" s="38" t="str">
        <f>CONCATENATE("= ",FIXED('4. z-Buckling'!$E$5,2,TRUE)," / ",FIXED('4. z-Buckling'!$E$18,2,TRUE))</f>
        <v>= 1800.00 / 5700.80</v>
      </c>
      <c r="D31" s="121">
        <f>'4. z-Buckling'!$E$5/'4. z-Buckling'!$E$18</f>
        <v>0.31574520252259297</v>
      </c>
      <c r="E31" s="6"/>
      <c r="G31" s="122">
        <f>D31</f>
        <v>0.31574520252259297</v>
      </c>
    </row>
    <row r="32" spans="2:8" x14ac:dyDescent="0.25">
      <c r="B32" s="20" t="s">
        <v>56</v>
      </c>
      <c r="C32" s="145" t="s">
        <v>57</v>
      </c>
      <c r="D32" s="146"/>
      <c r="E32" s="146"/>
    </row>
    <row r="33" spans="2:7" x14ac:dyDescent="0.25">
      <c r="C33" s="38" t="str">
        <f>CONCATENATE("= ",FIXED('4. z-Buckling'!$E$5,2,TRUE)," / ",FIXED('4. z-Buckling'!$E$18,2,TRUE))</f>
        <v>= 1800.00 / 5700.80</v>
      </c>
      <c r="D33" s="121">
        <f>'4. z-Buckling'!$E$5/'4. z-Buckling'!$E$18</f>
        <v>0.31574520252259297</v>
      </c>
      <c r="E33" s="6"/>
      <c r="F33" s="19"/>
      <c r="G33" s="122">
        <f>D33</f>
        <v>0.31574520252259297</v>
      </c>
    </row>
    <row r="34" spans="2:7" x14ac:dyDescent="0.25">
      <c r="C34" s="38"/>
      <c r="D34" s="38"/>
      <c r="E34" s="38"/>
      <c r="F34" s="19"/>
    </row>
    <row r="35" spans="2:7" x14ac:dyDescent="0.25">
      <c r="C35" s="29" t="str">
        <f>"χd,y = "&amp;TEXT('6. Shear+DC'!$D$31,"0.0000")&amp;" &lt; "&amp;TEXT('6. Shear+DC'!$D$27,"0.0000")&amp;" = χc,y "</f>
        <v xml:space="preserve">χd,y = 0.3157 &lt; 0.4525 = χc,y </v>
      </c>
    </row>
    <row r="36" spans="2:7" x14ac:dyDescent="0.25">
      <c r="C36" s="29"/>
    </row>
    <row r="37" spans="2:7" x14ac:dyDescent="0.25">
      <c r="B37" s="97" t="s">
        <v>313</v>
      </c>
      <c r="C37" s="145" t="s">
        <v>58</v>
      </c>
      <c r="D37" s="146"/>
      <c r="E37" s="146"/>
    </row>
    <row r="38" spans="2:7" ht="22.5" x14ac:dyDescent="0.25">
      <c r="C38" s="38" t="str">
        <f>CONCATENATE("= 1 - (1 - ",FIXED('5. Global+2nd'!$D$16,2,TRUE),") x ",FIXED('6. Shear+DC'!$D$31,2,TRUE)," / ((1 - ",FIXED('6. Shear+DC'!$D$27,2,TRUE),") x ",FIXED('5. Global+2nd'!$D$16,2,TRUE),")")</f>
        <v>= 1 - (1 - 0.62) x 0.32 / ((1 - 0.45) x 0.62)</v>
      </c>
      <c r="D38" s="121">
        <f>1-(1-'5. Global+2nd'!$D$16)*'6. Shear+DC'!$D$31/((1-'6. Shear+DC'!$D$27)*'5. Global+2nd'!$D$16)</f>
        <v>0.64446400354243716</v>
      </c>
      <c r="E38" s="6"/>
      <c r="F38" s="26" t="s">
        <v>291</v>
      </c>
      <c r="G38" s="122">
        <f>D38</f>
        <v>0.64446400354243716</v>
      </c>
    </row>
    <row r="39" spans="2:7" x14ac:dyDescent="0.25">
      <c r="C39" s="38"/>
      <c r="D39" s="38"/>
      <c r="E39" s="6"/>
      <c r="F39" s="26"/>
    </row>
    <row r="40" spans="2:7" x14ac:dyDescent="0.25">
      <c r="C40" s="29" t="str">
        <f>"χd,z = "&amp;TEXT('6. Shear+DC'!$D$33,"0.0000")&amp;" &lt; "&amp;TEXT('6. Shear+DC'!$D$29,"0.0000")&amp;" = χc,z "</f>
        <v xml:space="preserve">χd,z = 0.3157 &lt; 0.3846 = χc,z </v>
      </c>
    </row>
    <row r="41" spans="2:7" x14ac:dyDescent="0.25">
      <c r="C41" s="29"/>
    </row>
    <row r="42" spans="2:7" x14ac:dyDescent="0.25">
      <c r="B42" s="97" t="s">
        <v>314</v>
      </c>
      <c r="C42" s="145" t="s">
        <v>59</v>
      </c>
      <c r="D42" s="146"/>
      <c r="E42" s="146"/>
    </row>
    <row r="43" spans="2:7" x14ac:dyDescent="0.25">
      <c r="C43" s="40" t="str">
        <f>CONCATENATE("= 1 - (1 - ",FIXED('5. Global+2nd'!$D$8,2,TRUE),") x ",FIXED('6. Shear+DC'!$D$33,2,TRUE)," / ((1 - ",FIXED('6. Shear+DC'!$D$29,2,TRUE),") x ",FIXED('5. Global+2nd'!$D$8,2,TRUE),")")</f>
        <v>= 1 - (1 - 0.76) x 0.32 / ((1 - 0.38) x 0.76)</v>
      </c>
      <c r="D43" s="106">
        <f>1-(1-'5. Global+2nd'!$D$8)*'6. Shear+DC'!$D$33/((1-'6. Shear+DC'!$D$29)*'5. Global+2nd'!$D$8)</f>
        <v>0.83896331933938761</v>
      </c>
      <c r="E43" s="6"/>
      <c r="G43" s="122">
        <f>D43</f>
        <v>0.83896331933938761</v>
      </c>
    </row>
    <row r="45" spans="2:7" x14ac:dyDescent="0.25">
      <c r="B45" s="20" t="s">
        <v>60</v>
      </c>
      <c r="C45" s="40" t="str">
        <f>CONCATENATE("= ",FIXED('5. Global+2nd'!$D$40,2,TRUE)," / (",FIXED('6. Shear+DC'!$D$38,2,TRUE)," x ",FIXED('4. z-Buckling'!$E$90,2,TRUE),")")</f>
        <v>= 50.00 / (0.64 x 187.34)</v>
      </c>
      <c r="D45" s="106">
        <f>'5. Global+2nd'!$D$40/('6. Shear+DC'!$D$38*'4. z-Buckling'!$E$90)</f>
        <v>0.41413399928229799</v>
      </c>
      <c r="E45" s="6"/>
      <c r="F45" s="19" t="s">
        <v>61</v>
      </c>
      <c r="G45" s="122">
        <f>D45</f>
        <v>0.41413399928229799</v>
      </c>
    </row>
    <row r="46" spans="2:7" x14ac:dyDescent="0.25">
      <c r="B46" s="20" t="s">
        <v>62</v>
      </c>
      <c r="C46" s="40" t="str">
        <f>CONCATENATE("= ",FIXED('5. Global+2nd'!$D$31,2,TRUE)," / (",FIXED('6. Shear+DC'!$D$43,2,TRUE)," x ",FIXED('4. z-Buckling'!$E$46,2,TRUE),")")</f>
        <v>= 380.00 / (0.84 x 468.38)</v>
      </c>
      <c r="D46" s="106">
        <f>'5. Global+2nd'!$D$31/('6. Shear+DC'!$D$43*'4. z-Buckling'!$E$46)</f>
        <v>0.96702826132162767</v>
      </c>
      <c r="E46" s="6"/>
      <c r="F46" s="19" t="s">
        <v>63</v>
      </c>
      <c r="G46" s="122">
        <f>D46</f>
        <v>0.96702826132162767</v>
      </c>
    </row>
    <row r="47" spans="2:7" x14ac:dyDescent="0.25">
      <c r="B47" s="20"/>
      <c r="C47" s="40"/>
      <c r="D47" s="107"/>
      <c r="E47" s="6"/>
      <c r="F47" s="19"/>
    </row>
    <row r="48" spans="2:7" ht="27" x14ac:dyDescent="0.25">
      <c r="B48" s="45" t="s">
        <v>64</v>
      </c>
      <c r="C48" s="40" t="str">
        <f>CONCATENATE("= ",FIXED('6. Shear+DC'!$D$45,2,TRUE)," + ",FIXED('6. Shear+DC'!$D$46,2,TRUE))</f>
        <v>= 0.41 + 0.97</v>
      </c>
      <c r="D48" s="106">
        <f>'6. Shear+DC'!$D$45+'6. Shear+DC'!$D$46</f>
        <v>1.3811622606039258</v>
      </c>
      <c r="E48" s="6"/>
      <c r="F48" s="19" t="s">
        <v>65</v>
      </c>
      <c r="G48" s="122">
        <f>D48</f>
        <v>1.3811622606039258</v>
      </c>
    </row>
    <row r="50" spans="3:3" x14ac:dyDescent="0.25">
      <c r="C50" s="108" t="str">
        <f>"The D/C ratio of "&amp;TEXT('6. Shear+DC'!$D$48,"0.000")&amp;" governs the design."</f>
        <v>The D/C ratio of 1.381 governs the design.</v>
      </c>
    </row>
  </sheetData>
  <mergeCells count="12">
    <mergeCell ref="C42:E42"/>
    <mergeCell ref="C28:E28"/>
    <mergeCell ref="C6:E6"/>
    <mergeCell ref="C14:E14"/>
    <mergeCell ref="C23:E23"/>
    <mergeCell ref="C32:E32"/>
    <mergeCell ref="C26:E26"/>
    <mergeCell ref="C4:E4"/>
    <mergeCell ref="C12:E12"/>
    <mergeCell ref="C21:E21"/>
    <mergeCell ref="C37:E37"/>
    <mergeCell ref="C30:E30"/>
  </mergeCells>
  <conditionalFormatting sqref="D8">
    <cfRule type="cellIs" dxfId="9" priority="1" operator="greaterThanOrEqual">
      <formula>1</formula>
    </cfRule>
  </conditionalFormatting>
  <conditionalFormatting sqref="D16">
    <cfRule type="cellIs" dxfId="8" priority="2" operator="greaterThanOrEqual">
      <formula>1</formula>
    </cfRule>
  </conditionalFormatting>
  <conditionalFormatting sqref="D27">
    <cfRule type="cellIs" dxfId="7" priority="3" operator="greaterThanOrEqual">
      <formula>1</formula>
    </cfRule>
  </conditionalFormatting>
  <conditionalFormatting sqref="D29">
    <cfRule type="cellIs" dxfId="6" priority="4" operator="greaterThanOrEqual">
      <formula>1</formula>
    </cfRule>
  </conditionalFormatting>
  <conditionalFormatting sqref="D31">
    <cfRule type="cellIs" dxfId="5" priority="5" operator="greaterThanOrEqual">
      <formula>1</formula>
    </cfRule>
  </conditionalFormatting>
  <conditionalFormatting sqref="D33">
    <cfRule type="cellIs" dxfId="4" priority="6" operator="greaterThanOrEqual">
      <formula>1</formula>
    </cfRule>
  </conditionalFormatting>
  <conditionalFormatting sqref="D38">
    <cfRule type="cellIs" dxfId="3" priority="7" operator="greaterThanOrEqual">
      <formula>1</formula>
    </cfRule>
  </conditionalFormatting>
  <conditionalFormatting sqref="D43">
    <cfRule type="cellIs" dxfId="2" priority="8" operator="greaterThanOrEqual">
      <formula>1</formula>
    </cfRule>
  </conditionalFormatting>
  <conditionalFormatting sqref="D45:D46">
    <cfRule type="cellIs" dxfId="1" priority="9" operator="greaterThanOrEqual">
      <formula>1</formula>
    </cfRule>
  </conditionalFormatting>
  <conditionalFormatting sqref="D48">
    <cfRule type="cellIs" dxfId="0" priority="10" operator="greaterThanOrEqual">
      <formula>1</formula>
    </cfRule>
  </conditionalFormatting>
  <pageMargins left="0.55118110236220474" right="0.55118110236220474" top="0.51181102362204722" bottom="0.51181102362204722" header="0.23622047244094491" footer="0.23622047244094491"/>
  <pageSetup scale="83" firstPageNumber="9" fitToHeight="4" orientation="portrait" useFirstPageNumber="1" r:id="rId1"/>
  <headerFooter>
    <oddFooter xml:space="preserve">&amp;R&amp;"Times New Roman,Regular"&amp;8  Calculation as per IS 11384:2022  </oddFooter>
  </headerFooter>
  <rowBreaks count="1" manualBreakCount="1">
    <brk id="44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1BDCE63B-1DF9-4544-B0B4-37758117311B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G8</xm:sqref>
        </x14:conditionalFormatting>
        <x14:conditionalFormatting xmlns:xm="http://schemas.microsoft.com/office/excel/2006/main">
          <x14:cfRule type="iconSet" priority="13" id="{696D9AA1-7AEB-423C-9520-994E9E82B75C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G16</xm:sqref>
        </x14:conditionalFormatting>
        <x14:conditionalFormatting xmlns:xm="http://schemas.microsoft.com/office/excel/2006/main">
          <x14:cfRule type="iconSet" priority="14" id="{34155AB7-F490-4467-A0E3-2BFB324DA1CD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G27</xm:sqref>
        </x14:conditionalFormatting>
        <x14:conditionalFormatting xmlns:xm="http://schemas.microsoft.com/office/excel/2006/main">
          <x14:cfRule type="iconSet" priority="15" id="{9BD530C1-7F1A-4A21-867B-2539B8FD90A7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G29</xm:sqref>
        </x14:conditionalFormatting>
        <x14:conditionalFormatting xmlns:xm="http://schemas.microsoft.com/office/excel/2006/main">
          <x14:cfRule type="iconSet" priority="16" id="{A6C8FC38-15D1-43D4-92FE-6212B777ABD8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G31</xm:sqref>
        </x14:conditionalFormatting>
        <x14:conditionalFormatting xmlns:xm="http://schemas.microsoft.com/office/excel/2006/main">
          <x14:cfRule type="iconSet" priority="17" id="{48A3A6A2-7449-4826-A0FB-6ABF091B772D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G33</xm:sqref>
        </x14:conditionalFormatting>
        <x14:conditionalFormatting xmlns:xm="http://schemas.microsoft.com/office/excel/2006/main">
          <x14:cfRule type="iconSet" priority="18" id="{7648E51C-4954-45FC-9D70-4E82003E6956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G38</xm:sqref>
        </x14:conditionalFormatting>
        <x14:conditionalFormatting xmlns:xm="http://schemas.microsoft.com/office/excel/2006/main">
          <x14:cfRule type="iconSet" priority="19" id="{50AD1F69-3D7D-4535-83E1-684B21A7FAB4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G43</xm:sqref>
        </x14:conditionalFormatting>
        <x14:conditionalFormatting xmlns:xm="http://schemas.microsoft.com/office/excel/2006/main">
          <x14:cfRule type="iconSet" priority="20" id="{68675863-5E40-4069-AF1D-3003B28721C3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G45</xm:sqref>
        </x14:conditionalFormatting>
        <x14:conditionalFormatting xmlns:xm="http://schemas.microsoft.com/office/excel/2006/main">
          <x14:cfRule type="iconSet" priority="21" id="{7ECA6154-5D31-4231-8F3A-4B1F1236B0E3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G46</xm:sqref>
        </x14:conditionalFormatting>
        <x14:conditionalFormatting xmlns:xm="http://schemas.microsoft.com/office/excel/2006/main">
          <x14:cfRule type="iconSet" priority="22" id="{E0F3ECB8-AA4D-4634-8AF5-B64ABCAE43DE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2"/>
              <x14:cfIcon iconSet="NoIcons" iconId="0"/>
              <x14:cfIcon iconSet="3Symbols2" iconId="0"/>
            </x14:iconSet>
          </x14:cfRule>
          <xm:sqref>G48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1. Cover &amp; Summary</vt:lpstr>
      <vt:lpstr>2. Properties</vt:lpstr>
      <vt:lpstr>3. Sect Props</vt:lpstr>
      <vt:lpstr>4. z-Buckling</vt:lpstr>
      <vt:lpstr>5. Global+2nd</vt:lpstr>
      <vt:lpstr>6. Shear+DC</vt:lpstr>
      <vt:lpstr>'1. Cover &amp; Summary'!Print_Area</vt:lpstr>
      <vt:lpstr>'2. Properties'!Print_Area</vt:lpstr>
      <vt:lpstr>'4. z-Buckling'!Print_Area</vt:lpstr>
      <vt:lpstr>'5. Global+2nd'!Print_Area</vt:lpstr>
      <vt:lpstr>'6. Shear+DC'!Print_Area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RAWAT Arvind</cp:lastModifiedBy>
  <cp:lastPrinted>2026-09-29T11:40:45Z</cp:lastPrinted>
  <dcterms:created xsi:type="dcterms:W3CDTF">2026-09-25T10:03:32Z</dcterms:created>
  <dcterms:modified xsi:type="dcterms:W3CDTF">2026-09-30T05:16:55Z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30d458-cd10-4a48-9232-50530e63d4a6_Enabled">
    <vt:lpwstr>true</vt:lpwstr>
  </property>
  <property fmtid="{D5CDD505-2E9C-101B-9397-08002B2CF9AE}" pid="3" name="MSIP_Label_4a30d458-cd10-4a48-9232-50530e63d4a6_SetDate">
    <vt:lpwstr>2026-09-25T10:13:19Z</vt:lpwstr>
  </property>
  <property fmtid="{D5CDD505-2E9C-101B-9397-08002B2CF9AE}" pid="4" name="MSIP_Label_4a30d458-cd10-4a48-9232-50530e63d4a6_Method">
    <vt:lpwstr>Privileged</vt:lpwstr>
  </property>
  <property fmtid="{D5CDD505-2E9C-101B-9397-08002B2CF9AE}" pid="5" name="MSIP_Label_4a30d458-cd10-4a48-9232-50530e63d4a6_Name">
    <vt:lpwstr>l0_public</vt:lpwstr>
  </property>
  <property fmtid="{D5CDD505-2E9C-101B-9397-08002B2CF9AE}" pid="6" name="MSIP_Label_4a30d458-cd10-4a48-9232-50530e63d4a6_SiteId">
    <vt:lpwstr>a5877034-8d6a-496a-8cf8-ceb5e3451109</vt:lpwstr>
  </property>
  <property fmtid="{D5CDD505-2E9C-101B-9397-08002B2CF9AE}" pid="7" name="MSIP_Label_4a30d458-cd10-4a48-9232-50530e63d4a6_ActionId">
    <vt:lpwstr>064efe98-8fee-4dd9-bb82-63f0c80773e0</vt:lpwstr>
  </property>
  <property fmtid="{D5CDD505-2E9C-101B-9397-08002B2CF9AE}" pid="8" name="MSIP_Label_4a30d458-cd10-4a48-9232-50530e63d4a6_ContentBits">
    <vt:lpwstr>2</vt:lpwstr>
  </property>
</Properties>
</file>